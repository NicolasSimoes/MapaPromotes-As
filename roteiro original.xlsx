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0025\Desktop\Estudo roteiro promotores  autoserviço\"/>
    </mc:Choice>
  </mc:AlternateContent>
  <xr:revisionPtr revIDLastSave="0" documentId="13_ncr:9_{A153BA95-CA59-48B4-98DC-CB9A48356A32}" xr6:coauthVersionLast="47" xr6:coauthVersionMax="47" xr10:uidLastSave="{00000000-0000-0000-0000-000000000000}"/>
  <bookViews>
    <workbookView xWindow="-120" yWindow="-120" windowWidth="29040" windowHeight="15840" activeTab="2" xr2:uid="{18824AD4-335A-446D-A7D9-07F1443FEBAC}"/>
  </bookViews>
  <sheets>
    <sheet name="Planilha2" sheetId="2" r:id="rId1"/>
    <sheet name="Planilha3" sheetId="7" r:id="rId2"/>
    <sheet name="roteiro original" sheetId="1" r:id="rId3"/>
    <sheet name="HORARIOS" sheetId="6" r:id="rId4"/>
    <sheet name="rascunho" sheetId="3" r:id="rId5"/>
    <sheet name=" Simularção reduzir das redes " sheetId="9" r:id="rId6"/>
    <sheet name="Planilha4" sheetId="8" r:id="rId7"/>
  </sheets>
  <externalReferences>
    <externalReference r:id="rId8"/>
  </externalReferences>
  <definedNames>
    <definedName name="_xlnm._FilterDatabase" localSheetId="4" hidden="1">rascunho!$A$2:$P$76</definedName>
    <definedName name="_xlnm._FilterDatabase" localSheetId="2" hidden="1">'roteiro original'!$A$2:$N$134</definedName>
    <definedName name="_xlcn.WorksheetConnection_AtivmobatualmaioA1O2301" hidden="1">[1]promotesativmob!$A$2:$L$134</definedName>
    <definedName name="SegmentaçãodeDados_Mix_de_produtos_quantidade">#N/A</definedName>
    <definedName name="SegmentaçãodeDados_Promotor">#N/A</definedName>
  </definedNames>
  <calcPr calcId="191029"/>
  <pivotCaches>
    <pivotCache cacheId="0" r:id="rId9"/>
    <pivotCache cacheId="1" r:id="rId10"/>
  </pivotCaches>
  <extLst>
    <ext xmlns:x14="http://schemas.microsoft.com/office/spreadsheetml/2009/9/main" uri="{876F7934-8845-4945-9796-88D515C7AA90}">
      <x14:pivotCaches>
        <pivotCache cacheId="2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Ativmob atual maio!$A$1:$O$230"/>
        </x15:modelTables>
      </x15:dataModel>
    </ext>
  </extLst>
</workbook>
</file>

<file path=xl/calcChain.xml><?xml version="1.0" encoding="utf-8"?>
<calcChain xmlns="http://schemas.openxmlformats.org/spreadsheetml/2006/main">
  <c r="E93" i="9" l="1"/>
  <c r="F93" i="9"/>
  <c r="G93" i="9"/>
  <c r="H93" i="9"/>
  <c r="I93" i="9"/>
  <c r="J93" i="9"/>
  <c r="K176" i="9"/>
  <c r="K175" i="9"/>
  <c r="K174" i="9"/>
  <c r="K173" i="9"/>
  <c r="K172" i="9"/>
  <c r="K171" i="9"/>
  <c r="K170" i="9"/>
  <c r="K169" i="9"/>
  <c r="K168" i="9"/>
  <c r="K167" i="9"/>
  <c r="K163" i="9"/>
  <c r="K162" i="9"/>
  <c r="K161" i="9"/>
  <c r="K160" i="9"/>
  <c r="K159" i="9"/>
  <c r="K158" i="9"/>
  <c r="K157" i="9"/>
  <c r="K156" i="9"/>
  <c r="K155" i="9"/>
  <c r="K154" i="9"/>
  <c r="K147" i="9"/>
  <c r="K148" i="9"/>
  <c r="K149" i="9"/>
  <c r="K150" i="9"/>
  <c r="K146" i="9"/>
  <c r="K135" i="9"/>
  <c r="K136" i="9"/>
  <c r="K137" i="9"/>
  <c r="K138" i="9"/>
  <c r="K139" i="9"/>
  <c r="K140" i="9"/>
  <c r="K141" i="9"/>
  <c r="K142" i="9"/>
  <c r="K134" i="9"/>
  <c r="K120" i="9"/>
  <c r="K121" i="9"/>
  <c r="K122" i="9"/>
  <c r="K123" i="9"/>
  <c r="K124" i="9"/>
  <c r="K125" i="9"/>
  <c r="K126" i="9"/>
  <c r="K127" i="9"/>
  <c r="K128" i="9"/>
  <c r="K129" i="9"/>
  <c r="K130" i="9"/>
  <c r="K119" i="9"/>
  <c r="K109" i="9"/>
  <c r="K110" i="9"/>
  <c r="K111" i="9"/>
  <c r="K112" i="9"/>
  <c r="K113" i="9"/>
  <c r="K114" i="9"/>
  <c r="K115" i="9"/>
  <c r="K108" i="9"/>
  <c r="K83" i="9"/>
  <c r="K84" i="9"/>
  <c r="K85" i="9"/>
  <c r="K86" i="9"/>
  <c r="K87" i="9"/>
  <c r="K88" i="9"/>
  <c r="K89" i="9"/>
  <c r="K90" i="9"/>
  <c r="K91" i="9"/>
  <c r="K82" i="9"/>
  <c r="K71" i="9"/>
  <c r="K72" i="9"/>
  <c r="K73" i="9"/>
  <c r="K74" i="9"/>
  <c r="K75" i="9"/>
  <c r="K76" i="9"/>
  <c r="K77" i="9"/>
  <c r="K78" i="9"/>
  <c r="K70" i="9"/>
  <c r="K58" i="9"/>
  <c r="K59" i="9"/>
  <c r="K60" i="9"/>
  <c r="K61" i="9"/>
  <c r="K62" i="9"/>
  <c r="K63" i="9"/>
  <c r="K64" i="9"/>
  <c r="K65" i="9"/>
  <c r="K66" i="9"/>
  <c r="K57" i="9"/>
  <c r="K46" i="9"/>
  <c r="K47" i="9"/>
  <c r="K48" i="9"/>
  <c r="K49" i="9"/>
  <c r="K50" i="9"/>
  <c r="K51" i="9"/>
  <c r="K52" i="9"/>
  <c r="K53" i="9"/>
  <c r="K45" i="9"/>
  <c r="K38" i="9"/>
  <c r="K39" i="9"/>
  <c r="K40" i="9"/>
  <c r="K41" i="9"/>
  <c r="K37" i="9"/>
  <c r="K24" i="9"/>
  <c r="K25" i="9"/>
  <c r="K26" i="9"/>
  <c r="K27" i="9"/>
  <c r="K28" i="9"/>
  <c r="K29" i="9"/>
  <c r="K30" i="9"/>
  <c r="K31" i="9"/>
  <c r="K32" i="9"/>
  <c r="K33" i="9"/>
  <c r="K23" i="9"/>
  <c r="K16" i="9"/>
  <c r="K17" i="9"/>
  <c r="K18" i="9"/>
  <c r="K19" i="9"/>
  <c r="K15" i="9"/>
  <c r="F165" i="9"/>
  <c r="G165" i="9"/>
  <c r="H165" i="9"/>
  <c r="I165" i="9"/>
  <c r="J165" i="9"/>
  <c r="E165" i="9"/>
  <c r="F152" i="9"/>
  <c r="G152" i="9"/>
  <c r="H152" i="9"/>
  <c r="I152" i="9"/>
  <c r="J152" i="9"/>
  <c r="E152" i="9"/>
  <c r="F144" i="9"/>
  <c r="G144" i="9"/>
  <c r="H144" i="9"/>
  <c r="I144" i="9"/>
  <c r="J144" i="9"/>
  <c r="E144" i="9"/>
  <c r="F132" i="9"/>
  <c r="G132" i="9"/>
  <c r="H132" i="9"/>
  <c r="I132" i="9"/>
  <c r="J132" i="9"/>
  <c r="E132" i="9"/>
  <c r="F117" i="9"/>
  <c r="G117" i="9"/>
  <c r="H117" i="9"/>
  <c r="I117" i="9"/>
  <c r="J117" i="9"/>
  <c r="E117" i="9"/>
  <c r="F106" i="9"/>
  <c r="G106" i="9"/>
  <c r="H106" i="9"/>
  <c r="I106" i="9"/>
  <c r="J106" i="9"/>
  <c r="E106" i="9"/>
  <c r="F80" i="9"/>
  <c r="G80" i="9"/>
  <c r="H80" i="9"/>
  <c r="I80" i="9"/>
  <c r="J80" i="9"/>
  <c r="E80" i="9"/>
  <c r="F68" i="9"/>
  <c r="G68" i="9"/>
  <c r="H68" i="9"/>
  <c r="I68" i="9"/>
  <c r="J68" i="9"/>
  <c r="E68" i="9"/>
  <c r="F55" i="9"/>
  <c r="G55" i="9"/>
  <c r="H55" i="9"/>
  <c r="I55" i="9"/>
  <c r="J55" i="9"/>
  <c r="E55" i="9"/>
  <c r="F43" i="9"/>
  <c r="G43" i="9"/>
  <c r="H43" i="9"/>
  <c r="I43" i="9"/>
  <c r="J43" i="9"/>
  <c r="E43" i="9"/>
  <c r="F35" i="9"/>
  <c r="G35" i="9"/>
  <c r="H35" i="9"/>
  <c r="I35" i="9"/>
  <c r="J35" i="9"/>
  <c r="E35" i="9"/>
  <c r="F21" i="9"/>
  <c r="G21" i="9"/>
  <c r="H21" i="9"/>
  <c r="I21" i="9"/>
  <c r="J21" i="9"/>
  <c r="E21" i="9"/>
  <c r="G13" i="9"/>
  <c r="F13" i="9"/>
  <c r="H13" i="9"/>
  <c r="I13" i="9"/>
  <c r="J13" i="9"/>
  <c r="E13" i="9"/>
  <c r="J1" i="9"/>
  <c r="I1" i="9"/>
  <c r="H1" i="9"/>
  <c r="G1" i="9"/>
  <c r="F1" i="9"/>
  <c r="E1" i="9"/>
  <c r="K11" i="9"/>
  <c r="K10" i="9"/>
  <c r="K9" i="9"/>
  <c r="K8" i="9"/>
  <c r="K7" i="9"/>
  <c r="K6" i="9"/>
  <c r="K5" i="9"/>
  <c r="K4" i="9"/>
  <c r="K3" i="9"/>
  <c r="H19" i="6"/>
  <c r="H18" i="6"/>
  <c r="H17" i="6"/>
  <c r="H16" i="6"/>
  <c r="D16" i="6"/>
  <c r="D17" i="6" s="1"/>
  <c r="H15" i="6"/>
  <c r="D15" i="6"/>
  <c r="E15" i="6" s="1"/>
  <c r="H14" i="6"/>
  <c r="E14" i="6"/>
  <c r="H11" i="6"/>
  <c r="H10" i="6"/>
  <c r="H9" i="6"/>
  <c r="H8" i="6"/>
  <c r="H7" i="6"/>
  <c r="D7" i="6"/>
  <c r="D8" i="6" s="1"/>
  <c r="H6" i="6"/>
  <c r="E6" i="6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O1" i="3"/>
  <c r="N1" i="3"/>
  <c r="M1" i="3"/>
  <c r="L1" i="3"/>
  <c r="K1" i="3"/>
  <c r="J1" i="3"/>
  <c r="L1" i="1"/>
  <c r="K1" i="1"/>
  <c r="J1" i="1"/>
  <c r="I1" i="1"/>
  <c r="H1" i="1"/>
  <c r="G1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3" i="1"/>
  <c r="E8" i="6" l="1"/>
  <c r="D9" i="6"/>
  <c r="D18" i="6"/>
  <c r="E17" i="6"/>
  <c r="E16" i="6"/>
  <c r="E7" i="6"/>
  <c r="P1" i="3"/>
  <c r="M1" i="1"/>
  <c r="E18" i="6" l="1"/>
  <c r="D19" i="6"/>
  <c r="E19" i="6" s="1"/>
  <c r="E9" i="6"/>
  <c r="D10" i="6"/>
  <c r="D11" i="6" l="1"/>
  <c r="E11" i="6" s="1"/>
  <c r="E10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A2359F-D740-41D3-BE86-01B09F1AC1B6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48D85BC-89CF-4225-860B-0FF1FBAABDCF}" name="WorksheetConnection_Ativmob atual maio!$A$1:$O$230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AtivmobatualmaioA1O2301"/>
        </x15:connection>
      </ext>
    </extLst>
  </connection>
</connections>
</file>

<file path=xl/sharedStrings.xml><?xml version="1.0" encoding="utf-8"?>
<sst xmlns="http://schemas.openxmlformats.org/spreadsheetml/2006/main" count="1751" uniqueCount="405">
  <si>
    <t>Av. Godofredo Maciel, 2540</t>
  </si>
  <si>
    <t xml:space="preserve"> Maraponga</t>
  </si>
  <si>
    <t>FORTALEZA</t>
  </si>
  <si>
    <t>SEM</t>
  </si>
  <si>
    <t>-</t>
  </si>
  <si>
    <t>RUA CACILDA BECKER, 270</t>
  </si>
  <si>
    <t>JOAO XXIII</t>
  </si>
  <si>
    <t>AVENIDA GODOFREDO MACIEL, 1152</t>
  </si>
  <si>
    <t>MARAPONGA</t>
  </si>
  <si>
    <t>AVENIDA GODOFREDO MACIEL, 1945</t>
  </si>
  <si>
    <t>Rua 15 de Novembro, 340</t>
  </si>
  <si>
    <t>MONTESE</t>
  </si>
  <si>
    <t>RUA GOMES BRASIL, 201</t>
  </si>
  <si>
    <t>PARANGABA</t>
  </si>
  <si>
    <t>AVENIDA GEN OSORIO DE PAIVA, 2951</t>
  </si>
  <si>
    <t>VILA PERI</t>
  </si>
  <si>
    <t>RUA DESEMBARGADOR PRAXEDES, 163</t>
  </si>
  <si>
    <t>Damas</t>
  </si>
  <si>
    <t>null</t>
  </si>
  <si>
    <t>Rua Aluisio Azevedo - lado par, 86</t>
  </si>
  <si>
    <t>JOQUEI CLUBE</t>
  </si>
  <si>
    <t>Promotor</t>
  </si>
  <si>
    <t>Paula Celia</t>
  </si>
  <si>
    <t>Id</t>
  </si>
  <si>
    <t>Bruno Alves</t>
  </si>
  <si>
    <t>AVENIDA BERNARDO MANUEL, 11000</t>
  </si>
  <si>
    <t>MONDUBIM</t>
  </si>
  <si>
    <t>RUA G , 200</t>
  </si>
  <si>
    <t>PARQUE DOIS IRMAOS</t>
  </si>
  <si>
    <t>Av. Joao de Araujo Lima, 1092</t>
  </si>
  <si>
    <t>Pref. Jose Walter</t>
  </si>
  <si>
    <t>fortaleza</t>
  </si>
  <si>
    <t>Av.Joao de Araujo Lima, 1042</t>
  </si>
  <si>
    <t>PREFEITO JOSE WALTER</t>
  </si>
  <si>
    <t>Avenida Presidente Costa e Silva, 2646</t>
  </si>
  <si>
    <t>Mondubim</t>
  </si>
  <si>
    <t>max Monteiro</t>
  </si>
  <si>
    <t>Rua Frei Mansueto, 909</t>
  </si>
  <si>
    <t xml:space="preserve"> Varjota</t>
  </si>
  <si>
    <t>AVENIDA SEN VIRGILIO TAVORA, 2201</t>
  </si>
  <si>
    <t>ALDEOTA</t>
  </si>
  <si>
    <t>COSTA BARROS, 1270</t>
  </si>
  <si>
    <t>AVENIDA PE ANTONIO TOMAS, 871</t>
  </si>
  <si>
    <t>RUA BARBARA DE ALENCAR, 1887</t>
  </si>
  <si>
    <t>Av. Santos Dumont, 2680</t>
  </si>
  <si>
    <t>Aldeota</t>
  </si>
  <si>
    <t>AVENIDA SANTOS DUMONT, 3130</t>
  </si>
  <si>
    <t>RUA TIBURCIO CAVALCANTE, 1885</t>
  </si>
  <si>
    <t>AVENIDA ANTONIO SALES, 3266</t>
  </si>
  <si>
    <t>DIONISIO TORRES</t>
  </si>
  <si>
    <t>Rua Monsenhor Bruno, 2333</t>
  </si>
  <si>
    <t>Joaquim Tavora</t>
  </si>
  <si>
    <t>AVENIDA SEN VIRGILIO TAVORA, 847</t>
  </si>
  <si>
    <t>MEIRELES</t>
  </si>
  <si>
    <t>ALVARO WEYNE</t>
  </si>
  <si>
    <t>CENTRO</t>
  </si>
  <si>
    <t>JACARECANGA</t>
  </si>
  <si>
    <t>MONTE CASTELO</t>
  </si>
  <si>
    <t>PRESIDENTE KENNEDY</t>
  </si>
  <si>
    <t>JOAQUIM TAVORA</t>
  </si>
  <si>
    <t>JOSE BONIFACIO</t>
  </si>
  <si>
    <t>RUA WALDIR DIOGO, 1138</t>
  </si>
  <si>
    <t>NOVO MONDUBIM</t>
  </si>
  <si>
    <t>RUA CONEGO DE CASTRO, 3918</t>
  </si>
  <si>
    <t>PARQUE SAO JOSE</t>
  </si>
  <si>
    <t>AVENIDA OSORIO DE PAIVA, 6554</t>
  </si>
  <si>
    <t>SIQUEIRA</t>
  </si>
  <si>
    <t>RUA CHICO ANISIO, 200</t>
  </si>
  <si>
    <t>Av. Cmte. Aviador Childerico Mota, 1606</t>
  </si>
  <si>
    <t>TANGUEIRA</t>
  </si>
  <si>
    <t>CÓD</t>
  </si>
  <si>
    <t>RAZAO SOCIAL</t>
  </si>
  <si>
    <t>ENDEREÇO</t>
  </si>
  <si>
    <t>BAIRRO</t>
  </si>
  <si>
    <t>CIDADE</t>
  </si>
  <si>
    <t>MENS/QUIN/SEM/TRI/4SEM</t>
  </si>
  <si>
    <t>DATA INÍCIO DO CICLO</t>
  </si>
  <si>
    <t>SEG</t>
  </si>
  <si>
    <t>TER</t>
  </si>
  <si>
    <t>QUA</t>
  </si>
  <si>
    <t>QUI</t>
  </si>
  <si>
    <t>SEX</t>
  </si>
  <si>
    <t>SÁB</t>
  </si>
  <si>
    <t>CAUCAIA</t>
  </si>
  <si>
    <t>PARQUE GUADALAJARA (JUREMA)</t>
  </si>
  <si>
    <t>MARACANAU</t>
  </si>
  <si>
    <t>PAJUCARA</t>
  </si>
  <si>
    <t>Laryssa kelvin Martins</t>
  </si>
  <si>
    <t>AVENIDA GODOFREDO MACIEL, 4035</t>
  </si>
  <si>
    <t>AVENIDA GODOFREDO MACIEL, 4000</t>
  </si>
  <si>
    <t>R. Cap. Valdemar de Lima, 71</t>
  </si>
  <si>
    <t xml:space="preserve"> Centro</t>
  </si>
  <si>
    <t>RUA CAP VALDEMAR DE LIMA, 140</t>
  </si>
  <si>
    <t>BOA VISTA</t>
  </si>
  <si>
    <t>AV. Dr.  MENDEL STEINBRUCH, 14618</t>
  </si>
  <si>
    <t>caio silva</t>
  </si>
  <si>
    <t>AVENIDA EDSON DA MOTA CORREIA, 1125</t>
  </si>
  <si>
    <t>AV FRANCISCO SA, 4474</t>
  </si>
  <si>
    <t>AVENIDA CEL CARVALHO, 901</t>
  </si>
  <si>
    <t>BARRA DO CEARA</t>
  </si>
  <si>
    <t>AVENIDA CEL CARVALHO, 1261</t>
  </si>
  <si>
    <t>AVENIDA PRES CASTELO BRANCO, 5211</t>
  </si>
  <si>
    <t>RUA ALBERTO DE OLIVEIRA, 1739</t>
  </si>
  <si>
    <t>FLORESTA</t>
  </si>
  <si>
    <t>AVENIDA MOZART PINHEIRO DE LUCENA, 1711</t>
  </si>
  <si>
    <t>VILA VELHA</t>
  </si>
  <si>
    <t>RUA PEDRO SAMPAIO, 778</t>
  </si>
  <si>
    <t>Avenida Presidente Castelo Branco - de 4237 ao fim - lado, 5943</t>
  </si>
  <si>
    <t>Barra do Ceara</t>
  </si>
  <si>
    <t>CIDADE DOS FUNCIONARIOS</t>
  </si>
  <si>
    <t>MESSEJANA</t>
  </si>
  <si>
    <t>PASSARE</t>
  </si>
  <si>
    <t>SERRINHA</t>
  </si>
  <si>
    <t>Jangurussu</t>
  </si>
  <si>
    <t>Lagoa Redonda</t>
  </si>
  <si>
    <t>ana Paula marques</t>
  </si>
  <si>
    <t>AVENIDA FREI CIRILO, 3270</t>
  </si>
  <si>
    <t>CAJAZEIRAS</t>
  </si>
  <si>
    <t>AVENIDA PEDRO LAZAR, 877</t>
  </si>
  <si>
    <t>CAMBEBA</t>
  </si>
  <si>
    <t>AVENIDA MINISTRO JOSE AMERICO, 709</t>
  </si>
  <si>
    <t>AVENIDA BERNARDO MANUEL, 10070</t>
  </si>
  <si>
    <t>DENDE</t>
  </si>
  <si>
    <t>AV BERNARDO MANUEL, 8314</t>
  </si>
  <si>
    <t>ITAPERI</t>
  </si>
  <si>
    <t>RUA XII, 200</t>
  </si>
  <si>
    <t>RUA GOVERNADOR JOAO CARLOS, 858</t>
  </si>
  <si>
    <t>AVENIDA DR SILAS MUNGUBA, 2965</t>
  </si>
  <si>
    <t>AVENIDA DR. SILAS MUNGUBA, 6161</t>
  </si>
  <si>
    <t>AVENIDA DR SILAS MUNGUBA, 4301</t>
  </si>
  <si>
    <t>davi lima</t>
  </si>
  <si>
    <t>AVENIDA SANTOS DUMONT, 1169</t>
  </si>
  <si>
    <t>RUA PINTO MADEIRA, 1340</t>
  </si>
  <si>
    <t>RUA SOLON PINHEIRO, 136</t>
  </si>
  <si>
    <t>RUA J DA PENHA, 709</t>
  </si>
  <si>
    <t>AVENIDA FRANCISCO SA, 2670</t>
  </si>
  <si>
    <t>AVENIDA DA ABOLICAO, 2900</t>
  </si>
  <si>
    <t>AVENIDA DA ABOLICAO, 3790</t>
  </si>
  <si>
    <t>MUCURIPE</t>
  </si>
  <si>
    <t>AVENIDA MONSENHOR TABOSA, 697</t>
  </si>
  <si>
    <t>PRAIA DE IRACEMA</t>
  </si>
  <si>
    <t>RUA SAO PAULO, 01648</t>
  </si>
  <si>
    <t>Henrique Ponce</t>
  </si>
  <si>
    <t>AVENIDA SAO VICENTE DE PAULA, 101</t>
  </si>
  <si>
    <t>JUREMA</t>
  </si>
  <si>
    <t>AVENIDA A, 800</t>
  </si>
  <si>
    <t>CONJUNTO CEARA</t>
  </si>
  <si>
    <t>RUA SARGENTO JOAO PINHEIRO, 610</t>
  </si>
  <si>
    <t>GRANJA LISBOA</t>
  </si>
  <si>
    <t>Rua Vital Brasil, 2109</t>
  </si>
  <si>
    <t>Granja Portugal</t>
  </si>
  <si>
    <t>Av. Dom Almeida Lustosa, 1989</t>
  </si>
  <si>
    <t>Geissy Kelly  Gomes</t>
  </si>
  <si>
    <t>AV MINISTRO JOSE AMERICO, 284</t>
  </si>
  <si>
    <t>RUA DR JULIO LIMA, 676</t>
  </si>
  <si>
    <t>AVENIDA JOSE LEON, 1120</t>
  </si>
  <si>
    <t>RUA ATILANO DE MOURA, 320</t>
  </si>
  <si>
    <t>GUARARAPES</t>
  </si>
  <si>
    <t>Av. Coronel Miguel Dias, 1389</t>
  </si>
  <si>
    <t>Luciano Cavalcante</t>
  </si>
  <si>
    <t>AVENIDA OLIVEIRA PAIVA, 1881</t>
  </si>
  <si>
    <t>PARQUE MANIBURA</t>
  </si>
  <si>
    <t>AVENIDA ROGACIANO LEITE, 2080</t>
  </si>
  <si>
    <t>SALINAS</t>
  </si>
  <si>
    <t>AVENIDA EDILSON BRASIL SOARES, 1167</t>
  </si>
  <si>
    <t>SAPIRANGA</t>
  </si>
  <si>
    <t>Avenida Oliveira Paiva, 1350</t>
  </si>
  <si>
    <t>AVENIDA ENG AGRON JOSE GUIMARAES DUQUE, SN</t>
  </si>
  <si>
    <t>PARQUE IRACEMA</t>
  </si>
  <si>
    <t>João makson Oliveira</t>
  </si>
  <si>
    <t>III ETAPA TERRENO A QUADRA, 37</t>
  </si>
  <si>
    <t>PORTO DAS DUNAS</t>
  </si>
  <si>
    <t>AVENIDA EUSEBIO DE QUEIROZ, 2880</t>
  </si>
  <si>
    <t>COITE</t>
  </si>
  <si>
    <t>AVENIDA JORNALISTA TOMAZ COELHO, 1661</t>
  </si>
  <si>
    <t>BARROSO</t>
  </si>
  <si>
    <t>EUSEBIO DE QUEIROZ, 1890</t>
  </si>
  <si>
    <t>TAMATANDUBA</t>
  </si>
  <si>
    <t>RUA VALPARAISO, 825</t>
  </si>
  <si>
    <t>I (CONJUNTO PARQUE DOM PEDRO), 0237</t>
  </si>
  <si>
    <t>PARQUE DOM PEDRO</t>
  </si>
  <si>
    <t>Rua Jose Moreira, 670</t>
  </si>
  <si>
    <t>PARQUE SANTA MARIA</t>
  </si>
  <si>
    <t>Rua Jorge Figueiredo, 1500</t>
  </si>
  <si>
    <t>Pedras</t>
  </si>
  <si>
    <t>RODOLFO TEOFILO</t>
  </si>
  <si>
    <t>Antonio José Vieira filho</t>
  </si>
  <si>
    <t>AVENIDA SANTOS DUMONT, 3860</t>
  </si>
  <si>
    <t>AVENIDA CENTRAL OESTE, 1001</t>
  </si>
  <si>
    <t>CIDADE 2000</t>
  </si>
  <si>
    <t>Av. Antonio Sales, 3700</t>
  </si>
  <si>
    <t>COCO</t>
  </si>
  <si>
    <t>RUA DR GILBERTO STUDART, 155</t>
  </si>
  <si>
    <t>AVENIDA ENG SANTANA JUNIOR, 2277</t>
  </si>
  <si>
    <t>AVENIDA SANTOS DUMONT, 6500</t>
  </si>
  <si>
    <t>AVENIDA WASHINGTON SOARES, 85</t>
  </si>
  <si>
    <t>EDSON QUEIROZ</t>
  </si>
  <si>
    <t>RUA VIRGILIO BASTOS DOS SANTOS, 66</t>
  </si>
  <si>
    <t>LUCIANO CAVALCANTE</t>
  </si>
  <si>
    <t>AVENIDA WASHINGTON SOARES, 1500</t>
  </si>
  <si>
    <t>AVENIDA ENG SANTANA JUNIOR, 699</t>
  </si>
  <si>
    <t>PAPICU</t>
  </si>
  <si>
    <t>Av. Santos Dumont, 5916</t>
  </si>
  <si>
    <t>Papicu</t>
  </si>
  <si>
    <t>WASHINGTON SOARES, 4040</t>
  </si>
  <si>
    <t>herryson mesquita</t>
  </si>
  <si>
    <t>AVENIDA ANTONIO SALES, 1800</t>
  </si>
  <si>
    <t>AVENIDA DEPUTADO OSWALDO STUDART, 600</t>
  </si>
  <si>
    <t>FATIMA</t>
  </si>
  <si>
    <t>AVENIDA DEP OSWALDO STUDART, 200</t>
  </si>
  <si>
    <t>RUA DR COSTA ARAUJO, 1132</t>
  </si>
  <si>
    <t>AVENIDA AGUANAMBI, 1393</t>
  </si>
  <si>
    <t>AVENIDA TREZE DE MAIO, 1060</t>
  </si>
  <si>
    <t>Av. Rui Barbosa, 2727</t>
  </si>
  <si>
    <t>RUA ILDEFONSO ALBANO, 2260</t>
  </si>
  <si>
    <t>Rua Barao do Rio Branco, 2841</t>
  </si>
  <si>
    <t>Christian William</t>
  </si>
  <si>
    <t>thalys frota</t>
  </si>
  <si>
    <t>AVENIDA JOSE BASTOS, 4400</t>
  </si>
  <si>
    <t>BELA VISTA</t>
  </si>
  <si>
    <t>RUA PIAUI, 1110</t>
  </si>
  <si>
    <t>DEMOCRITO ROCHA</t>
  </si>
  <si>
    <t>PADRE ANCHIETA, 581</t>
  </si>
  <si>
    <t>PADRE GUERRA, 852</t>
  </si>
  <si>
    <t>PARQUE ARAXA</t>
  </si>
  <si>
    <t>AVENIDA JOVITA FEITOSA, 2580</t>
  </si>
  <si>
    <t>PARQUELANDIA</t>
  </si>
  <si>
    <t>RUA PROF LINO ENCARNACAO, 869</t>
  </si>
  <si>
    <t>RUA PROFESSOR COSTA MENDES, 2065</t>
  </si>
  <si>
    <t>AVENIDA BEZERRA DE MENEZES, 2450</t>
  </si>
  <si>
    <t>SAO GERARDO</t>
  </si>
  <si>
    <t>AVENIDA BEZERRA DE MENEZES, 1498</t>
  </si>
  <si>
    <t>RUA DOS FRANCESES, SN</t>
  </si>
  <si>
    <t>Franklin teran</t>
  </si>
  <si>
    <t>RUA MANOEL CASTELO BRANCO, 352</t>
  </si>
  <si>
    <t>AVENIDA FREI CIRILO, 4027</t>
  </si>
  <si>
    <t>AVENIDA WASHINGTON SOARES, 10008</t>
  </si>
  <si>
    <t>AVENIDA FREI CIRILO, 4290</t>
  </si>
  <si>
    <t>RUA CORONEL GUILHERME ALENCAR, 259</t>
  </si>
  <si>
    <t>RUA JOAQUIM FELICIO, 809</t>
  </si>
  <si>
    <t>AVENIDA FREI CIRILO, 4000</t>
  </si>
  <si>
    <t>Avenida PROFESSOR JOSE ARTHUR DE CARVALHO, 520</t>
  </si>
  <si>
    <t>PROFESSOR JOSE ARTHUR DE CARVALHO, 1512</t>
  </si>
  <si>
    <t>RUA WASHINGTON SOARES, 7263</t>
  </si>
  <si>
    <t>Natalia Oliveira</t>
  </si>
  <si>
    <t>RUA CEL MATOS DOURADO, 1280</t>
  </si>
  <si>
    <t>DOM LUSTOSA</t>
  </si>
  <si>
    <t>R. Prof. Edgard de Arruda, 1050</t>
  </si>
  <si>
    <t>HENRIQUE JORGE</t>
  </si>
  <si>
    <t>AVENIDA SEN FERNANDES TAVORA, 1526</t>
  </si>
  <si>
    <t>RUA JOSE MENDONCA, 690</t>
  </si>
  <si>
    <t>PARQUE GENIBAU</t>
  </si>
  <si>
    <t>RUA SENADOR FERNANDES TAVORA, 2100</t>
  </si>
  <si>
    <t>Rótulos de Linha</t>
  </si>
  <si>
    <t>FRANGOLANDIA - MARAPONGA</t>
  </si>
  <si>
    <t>CENTERBOX - JOAO XXIII</t>
  </si>
  <si>
    <t>PINHEIRO - MARAPONGA</t>
  </si>
  <si>
    <t>COMETA (MARAPONGA)</t>
  </si>
  <si>
    <t>FRANGOLANDIA - MONTESE</t>
  </si>
  <si>
    <t>SUPER LAGOA - PARANGABA</t>
  </si>
  <si>
    <t>COMETA (SIQUEIRA)</t>
  </si>
  <si>
    <t>COMETA (JOAO PESSOA)</t>
  </si>
  <si>
    <t>COMETA (JOAO XXIII)</t>
  </si>
  <si>
    <t>LAG - MONDUBIM</t>
  </si>
  <si>
    <t>SUPER DO POVO - PARQUE DOIS IRMAOS</t>
  </si>
  <si>
    <t>SUPER DO POVO - PREF JOSE WALTER</t>
  </si>
  <si>
    <t>COMETA (JOSE WALTER 01)</t>
  </si>
  <si>
    <t>MATEUS - JOSE WALTER</t>
  </si>
  <si>
    <t>FRANGOLANDIA - VARJOTA</t>
  </si>
  <si>
    <t>COMETA (BENI CARVALHO)</t>
  </si>
  <si>
    <t>FRANGOLANDIA - COSTA BARROS</t>
  </si>
  <si>
    <t>COMETA (PE ANTONIO TOMAS)</t>
  </si>
  <si>
    <t>PAO DE ACUCAR - JULIO VENTURA (1252)</t>
  </si>
  <si>
    <t>FRANGOLANDIA - ALDEOTA</t>
  </si>
  <si>
    <t>PAO DE ACUCAR - CENTER UM (1209)</t>
  </si>
  <si>
    <t>COMETA (TIBURCIO CAVALCANTE)</t>
  </si>
  <si>
    <t>PINHEIRO - ANTONIO SALES</t>
  </si>
  <si>
    <t>SUPER DO POVO - MINI MARKET</t>
  </si>
  <si>
    <t>COMETA (VIRGILIO TAVORA)</t>
  </si>
  <si>
    <t>COMETA (MONDUBIM)</t>
  </si>
  <si>
    <t>PINHEIRO - MONDUBIM</t>
  </si>
  <si>
    <t>FRANGOLANDIA - MARACANAU</t>
  </si>
  <si>
    <t>COMETA (MARACANAU)</t>
  </si>
  <si>
    <t>MATEUS - MARACANAU</t>
  </si>
  <si>
    <t>CENTERBOX - CAUCAIA</t>
  </si>
  <si>
    <t>FRANGOLANDIA - ALVARO WEYNE</t>
  </si>
  <si>
    <t>CENTERBOX - BARRA</t>
  </si>
  <si>
    <t>CENTERBOX - CEL CARVALHO</t>
  </si>
  <si>
    <t>COMETA (CASTELO BRANCO)</t>
  </si>
  <si>
    <t>CENTERBOX - JD IRACEMA</t>
  </si>
  <si>
    <t>SUPER LAGOA - MOZART LUCENA</t>
  </si>
  <si>
    <t>COMETA (VILA VELHA)</t>
  </si>
  <si>
    <t>LAG - BARRA DO CEARA</t>
  </si>
  <si>
    <t>MEGA - MESSEJANA</t>
  </si>
  <si>
    <t>SUPER LAGOA - CAMBEBA</t>
  </si>
  <si>
    <t>SUPER DO POVO - CAMBEBA</t>
  </si>
  <si>
    <t>CENTERBOX - BERNARDO MANUEL</t>
  </si>
  <si>
    <t>FRANGOLANDIA - ITAPERI</t>
  </si>
  <si>
    <t>SUPER DO POVO - PASSARE</t>
  </si>
  <si>
    <t>COMETA (JOAO CARLOS)</t>
  </si>
  <si>
    <t>COMETA (SERRINHA)</t>
  </si>
  <si>
    <t>SUPER LAGOA - PASSARE</t>
  </si>
  <si>
    <t>COMETA (PASSARE)</t>
  </si>
  <si>
    <t>PAO DE ACUCAR - SANTOS DUMONT (1220)</t>
  </si>
  <si>
    <t>COMETA (PINTO MADEIRA)</t>
  </si>
  <si>
    <t>SUPER LAGOA - CENTRO</t>
  </si>
  <si>
    <t>COMETA (J DA PENHA)</t>
  </si>
  <si>
    <t>COMETA (JACARECANGA)</t>
  </si>
  <si>
    <t>PAO DE ACUCAR - NAUTICO (1004)</t>
  </si>
  <si>
    <t>PAO DE ACUCAR - MUCURIPE (1257)</t>
  </si>
  <si>
    <t>PINHEIRO - PRAIA DE IRACEMA</t>
  </si>
  <si>
    <t>COMETA (CENTRO)</t>
  </si>
  <si>
    <t>SUPER DO POVO - JUREMA</t>
  </si>
  <si>
    <t>SUPER DO POVO - CONJUNTO CEARA</t>
  </si>
  <si>
    <t>CENTERBOX - ATACAREJO</t>
  </si>
  <si>
    <t>CENTERBOX - VITAL BRASIL</t>
  </si>
  <si>
    <t>MATEUS - CAUCAIA</t>
  </si>
  <si>
    <t>PINHEIRO - CAMBEBA</t>
  </si>
  <si>
    <t>COMETA (JULIO LIMA)</t>
  </si>
  <si>
    <t>COMETA (JOSE LEON)</t>
  </si>
  <si>
    <t>SUPER DO POVO - GUARARAPES</t>
  </si>
  <si>
    <t>FRANGOLANDIA - GUARARAPES</t>
  </si>
  <si>
    <t>COMETA (OLIVEIRA PAIVA)</t>
  </si>
  <si>
    <t>PINHEIRO - ROGACIANO LEITE</t>
  </si>
  <si>
    <t>COMETA (ED BR SOARES)</t>
  </si>
  <si>
    <t>COMETA (PATIO OLIVEIRA PAIVA)</t>
  </si>
  <si>
    <t>CENTERBOX - PRQ IRACEMA</t>
  </si>
  <si>
    <t>PINHEIRO - PORTO DAS DUNAS</t>
  </si>
  <si>
    <t>COMETA (EUSEBIO)</t>
  </si>
  <si>
    <t>CENTERBOX - MESSEJANA - LJ 02</t>
  </si>
  <si>
    <t>FRANGOLANDIA - EUSEBIO</t>
  </si>
  <si>
    <t>CENTERBOX - VALPARAISO</t>
  </si>
  <si>
    <t>CENTERBOX - PARQUE DOM PEDRO</t>
  </si>
  <si>
    <t>CENTERBOX - PARQUE SANTA MARIA</t>
  </si>
  <si>
    <t>CENTERBOX - PEDRAS</t>
  </si>
  <si>
    <t>SUPER LAGOA - SANTOS DUMONT</t>
  </si>
  <si>
    <t>SUPER LAGOA - CIDADE 2000</t>
  </si>
  <si>
    <t>FRANGOLANDIA - COCO</t>
  </si>
  <si>
    <t>CENTERBOX - CONCEITO</t>
  </si>
  <si>
    <t>PAO DE ACUCAR - COCO (1253)</t>
  </si>
  <si>
    <t>CENTERBOX - SANTOS DUMONT</t>
  </si>
  <si>
    <t>PAO DE ACUCAR - IGUATEMI (1339)</t>
  </si>
  <si>
    <t>SUPER LAGOA - LUCIANO CAVALCANTE</t>
  </si>
  <si>
    <t>PAO DE ACUCAR - LUCIANO CAVALCANTE (2374)</t>
  </si>
  <si>
    <t>COMETA (ENGENHEIRO SANTANA JR)</t>
  </si>
  <si>
    <t>FRANGOLANDIA - SANTOS DUMONT</t>
  </si>
  <si>
    <t>FRANGOLANDIA - MOLINA CENTER</t>
  </si>
  <si>
    <t>COMETA (ANTONIO SALES)</t>
  </si>
  <si>
    <t>EXTRA - RODOVIARIA (1404)</t>
  </si>
  <si>
    <t>COMETA (FATIMA)</t>
  </si>
  <si>
    <t>PAO DE ACUCAR - FATIMA (0255)</t>
  </si>
  <si>
    <t>PAO DE ACUCAR - AGUANAMBI (1398)</t>
  </si>
  <si>
    <t>COMETA (TREZE DE MAIO)</t>
  </si>
  <si>
    <t>FRANGOLANDIA - RUI BARBOSA</t>
  </si>
  <si>
    <t>COMETA (ILDEFONSO ALBANO)</t>
  </si>
  <si>
    <t>COMETA (BARAO DO RIO BRANCO)</t>
  </si>
  <si>
    <t>COMETA (WALDIR DIOGO)</t>
  </si>
  <si>
    <t>CENTERBOX - PRQ SAO JOSE</t>
  </si>
  <si>
    <t>COMETA (OSORIO DE PAIVA)</t>
  </si>
  <si>
    <t>PINHEIRO - MARANGUAPE</t>
  </si>
  <si>
    <t>MATEUS - MARANGUAPE</t>
  </si>
  <si>
    <t>CENTERBOX - PANAMERICANO</t>
  </si>
  <si>
    <t>PINHEIRO - PANAMERICANO</t>
  </si>
  <si>
    <t>FRANGOLANDIA - MONTE CASTELO</t>
  </si>
  <si>
    <t>FRANGOLANDIA - PARQUE ARAXA</t>
  </si>
  <si>
    <t>FRANGOLANDIA - MESSEJANA</t>
  </si>
  <si>
    <t>TOTAL</t>
  </si>
  <si>
    <t>COMETA (JOVITA FEITOSA)</t>
  </si>
  <si>
    <t>CENTERBOX - PARQUELANDIA</t>
  </si>
  <si>
    <t>SUPER LAGOA - RODOLFO TEOFILO</t>
  </si>
  <si>
    <t>SUPER LAGOA - NORTH SHOPPING</t>
  </si>
  <si>
    <t>PAO DE ACUCAR - BEZERRA DE MENEZES (2375)</t>
  </si>
  <si>
    <t>COMETA (PRESIDENTE KENNEDY)</t>
  </si>
  <si>
    <t>COMETA (FREI CIRILO)</t>
  </si>
  <si>
    <t>PINHEIRO - WASHINGTON SOARES</t>
  </si>
  <si>
    <t>PINHEIRO - MESSEJANA</t>
  </si>
  <si>
    <t>LAG - MESSEJANA</t>
  </si>
  <si>
    <t>COMETA (JOAQUIM FELICIO)</t>
  </si>
  <si>
    <t>CENTERBOX - MESSEJANA - LJ 01</t>
  </si>
  <si>
    <t>CENTERBOX - LAGOA REDONDA</t>
  </si>
  <si>
    <t>CENTERBOX - CURIO</t>
  </si>
  <si>
    <t>COMETA (MESSEJANA)</t>
  </si>
  <si>
    <t>COMETA (MATOS DOURADO)</t>
  </si>
  <si>
    <t>SUPER DO POVO - HENRIQUE JORGE</t>
  </si>
  <si>
    <t>COMETA (HENRIQUE JORGE)</t>
  </si>
  <si>
    <t>CENTERBOX - PRQ GENIBAU</t>
  </si>
  <si>
    <t>MATEUS - HENRIQUE JORGE</t>
  </si>
  <si>
    <t xml:space="preserve">    </t>
  </si>
  <si>
    <t>Mix de produtos quantidade</t>
  </si>
  <si>
    <t xml:space="preserve"> Mix de produtos quantidade</t>
  </si>
  <si>
    <t>Mix de Produtos Quantidade</t>
  </si>
  <si>
    <t>Ana Paula Marques</t>
  </si>
  <si>
    <t>Caio Silva</t>
  </si>
  <si>
    <t>Davi Lima</t>
  </si>
  <si>
    <t>Max Monteiro</t>
  </si>
  <si>
    <t>Thalys frota</t>
  </si>
  <si>
    <t>BRUNO ALVES (MIX MATEUS - JOSE WALTER)</t>
  </si>
  <si>
    <t>DATA</t>
  </si>
  <si>
    <t>DIA</t>
  </si>
  <si>
    <t>INÍCIO</t>
  </si>
  <si>
    <t>FIM</t>
  </si>
  <si>
    <t>TEMPO</t>
  </si>
  <si>
    <t>OCIOSO</t>
  </si>
  <si>
    <t>Antonio Jose Vieira filho</t>
  </si>
  <si>
    <t>Joao makson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</si>
</sst>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FF1CB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2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3" fillId="12" borderId="0" xfId="0" applyFont="1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3" fillId="12" borderId="0" xfId="0" applyFont="1" applyFill="1"/>
    <xf numFmtId="0" fontId="0" fillId="13" borderId="0" xfId="0" applyFill="1"/>
    <xf numFmtId="0" fontId="0" fillId="13" borderId="0" xfId="0" applyFill="1" applyAlignment="1">
      <alignment horizontal="center"/>
    </xf>
    <xf numFmtId="0" fontId="0" fillId="14" borderId="0" xfId="0" applyFill="1"/>
    <xf numFmtId="0" fontId="0" fillId="1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3B3"/>
      <color rgb="FFFFD2B3"/>
      <color rgb="FFD1D1FF"/>
      <color rgb="FFC1C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07/relationships/slicerCache" Target="slicerCaches/slicerCache2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3</xdr:row>
      <xdr:rowOff>0</xdr:rowOff>
    </xdr:from>
    <xdr:to>
      <xdr:col>7</xdr:col>
      <xdr:colOff>228600</xdr:colOff>
      <xdr:row>16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motor">
              <a:extLst>
                <a:ext uri="{FF2B5EF4-FFF2-40B4-BE49-F238E27FC236}">
                  <a16:creationId xmlns:a16="http://schemas.microsoft.com/office/drawing/2014/main" id="{38DFC239-24E6-2D61-37B5-B47BA13D32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mo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81575" y="571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419100</xdr:colOff>
      <xdr:row>4</xdr:row>
      <xdr:rowOff>133350</xdr:rowOff>
    </xdr:from>
    <xdr:to>
      <xdr:col>17</xdr:col>
      <xdr:colOff>419100</xdr:colOff>
      <xdr:row>17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ix de produtos quantidade">
              <a:extLst>
                <a:ext uri="{FF2B5EF4-FFF2-40B4-BE49-F238E27FC236}">
                  <a16:creationId xmlns:a16="http://schemas.microsoft.com/office/drawing/2014/main" id="{594BCF59-C734-B0AE-2D1B-286B239932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x de produtos quant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01575" y="8953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motesativmob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motesativmob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motesativmob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 0025" refreshedDate="45798.635247916667" createdVersion="8" refreshedVersion="8" minRefreshableVersion="3" recordCount="132" xr:uid="{1CEB3B85-864D-489E-90FC-4FEBAAA3F821}">
  <cacheSource type="worksheet">
    <worksheetSource ref="A2:N134" sheet="promotesativmob" r:id="rId2"/>
  </cacheSource>
  <cacheFields count="14">
    <cacheField name="Id" numFmtId="0">
      <sharedItems containsSemiMixedTypes="0" containsString="0" containsNumber="1" containsInteger="1" minValue="10931" maxValue="12155"/>
    </cacheField>
    <cacheField name="Promotor" numFmtId="0">
      <sharedItems count="16">
        <s v="Paula Celia"/>
        <s v="Bruno Alves"/>
        <s v="max Monteiro"/>
        <s v="Laryssa kelvin Martins"/>
        <s v="caio silva"/>
        <s v="ana Paula marques"/>
        <s v="davi lima"/>
        <s v="Henrique Ponce"/>
        <s v="Geissy Kelly  Gomes"/>
        <s v="João makson Oliveira"/>
        <s v="Antonio José Vieira filho"/>
        <s v="herryson mesquita"/>
        <s v="Christian William"/>
        <s v="thalys frota"/>
        <s v="Franklin teran"/>
        <s v="Natalia Oliveira"/>
      </sharedItems>
    </cacheField>
    <cacheField name="CÓD" numFmtId="0">
      <sharedItems containsSemiMixedTypes="0" containsString="0" containsNumber="1" containsInteger="1" minValue="172" maxValue="8975473" count="132">
        <n v="8900011"/>
        <n v="663"/>
        <n v="192"/>
        <n v="9345"/>
        <n v="8900017"/>
        <n v="219"/>
        <n v="337"/>
        <n v="9622"/>
        <n v="11809"/>
        <n v="9342"/>
        <n v="8971164"/>
        <n v="8971161"/>
        <n v="1034"/>
        <n v="11733"/>
        <n v="8900003"/>
        <n v="9340"/>
        <n v="8900018"/>
        <n v="4393"/>
        <n v="3944"/>
        <n v="8900010"/>
        <n v="4009"/>
        <n v="4029"/>
        <n v="5047"/>
        <n v="6971169"/>
        <n v="1058"/>
        <n v="10948"/>
        <n v="225"/>
        <n v="8900002"/>
        <n v="1011"/>
        <n v="9635"/>
        <n v="4293"/>
        <n v="8900000"/>
        <n v="4458"/>
        <n v="465"/>
        <n v="989"/>
        <n v="4202"/>
        <n v="186"/>
        <n v="950"/>
        <n v="11825"/>
        <n v="9487"/>
        <n v="557"/>
        <n v="8971165"/>
        <n v="3166"/>
        <n v="8900001"/>
        <n v="8971163"/>
        <n v="874"/>
        <n v="1043"/>
        <n v="879"/>
        <n v="9602"/>
        <n v="4197"/>
        <n v="958"/>
        <n v="228"/>
        <n v="967"/>
        <n v="9339"/>
        <n v="4141"/>
        <n v="3815"/>
        <n v="3616"/>
        <n v="10946"/>
        <n v="8971166"/>
        <n v="8971162"/>
        <n v="9586"/>
        <n v="11595"/>
        <n v="11622"/>
        <n v="8975473"/>
        <n v="1025"/>
        <n v="1482"/>
        <n v="8971167"/>
        <n v="8900012"/>
        <n v="1049"/>
        <n v="4327"/>
        <n v="9346"/>
        <n v="11879"/>
        <n v="10977"/>
        <n v="10722"/>
        <n v="9347"/>
        <n v="3486"/>
        <n v="8900008"/>
        <n v="11898"/>
        <n v="11896"/>
        <n v="11946"/>
        <n v="11895"/>
        <n v="4394"/>
        <n v="179"/>
        <n v="8900006"/>
        <n v="972"/>
        <n v="4271"/>
        <n v="224"/>
        <n v="3533"/>
        <n v="233"/>
        <n v="4284"/>
        <n v="4522"/>
        <n v="8900007"/>
        <n v="8900019"/>
        <n v="838"/>
        <n v="3784"/>
        <n v="9341"/>
        <n v="4111"/>
        <n v="3508"/>
        <n v="2309"/>
        <n v="8900009"/>
        <n v="942"/>
        <n v="11775"/>
        <n v="1004"/>
        <n v="172"/>
        <n v="2351"/>
        <n v="8975472"/>
        <n v="10758"/>
        <n v="196"/>
        <n v="197"/>
        <n v="8900004"/>
        <n v="8900016"/>
        <n v="4803"/>
        <n v="182"/>
        <n v="902"/>
        <n v="203"/>
        <n v="4221"/>
        <n v="9631"/>
        <n v="8900015"/>
        <n v="1006"/>
        <n v="268"/>
        <n v="276"/>
        <n v="218"/>
        <n v="954"/>
        <n v="212"/>
        <n v="11899"/>
        <n v="11851"/>
        <n v="10947"/>
        <n v="548"/>
        <n v="8971160"/>
        <n v="976"/>
        <n v="862"/>
        <n v="10756"/>
      </sharedItems>
    </cacheField>
    <cacheField name="RAZAO SOCIAL" numFmtId="0">
      <sharedItems count="132">
        <s v="FRANGOLANDIA - MARAPONGA"/>
        <s v="CENTERBOX - JOAO XXIII"/>
        <s v="PINHEIRO - MARAPONGA"/>
        <s v="COMETA (MARAPONGA)"/>
        <s v="FRANGOLANDIA - MONTESE"/>
        <s v="SUPER LAGOA - PARANGABA"/>
        <s v="COMETA (SIQUEIRA)"/>
        <s v="COMETA (JOAO PESSOA)"/>
        <s v="COMETA (JOAO XXIII)"/>
        <s v="LAG - MONDUBIM"/>
        <s v="SUPER DO POVO - PARQUE DOIS IRMAOS"/>
        <s v="SUPER DO POVO - PREF JOSE WALTER"/>
        <s v="COMETA (JOSE WALTER 01)"/>
        <s v="MATEUS - JOSE WALTER"/>
        <s v="FRANGOLANDIA - VARJOTA"/>
        <s v="COMETA (BENI CARVALHO)"/>
        <s v="FRANGOLANDIA - COSTA BARROS"/>
        <s v="COMETA (PE ANTONIO TOMAS)"/>
        <s v="PAO DE ACUCAR - JULIO VENTURA (1252)"/>
        <s v="FRANGOLANDIA - ALDEOTA"/>
        <s v="PAO DE ACUCAR - CENTER UM (1209)"/>
        <s v="COMETA (TIBURCIO CAVALCANTE)"/>
        <s v="PINHEIRO - ANTONIO SALES"/>
        <s v="SUPER DO POVO - MINI MARKET"/>
        <s v="COMETA (VIRGILIO TAVORA)"/>
        <s v="COMETA (MONDUBIM)"/>
        <s v="PINHEIRO - MONDUBIM"/>
        <s v="FRANGOLANDIA - MARACANAU"/>
        <s v="COMETA (MARACANAU)"/>
        <s v="MATEUS - MARACANAU"/>
        <s v="CENTERBOX - CAUCAIA"/>
        <s v="FRANGOLANDIA - ALVARO WEYNE"/>
        <s v="CENTERBOX - BARRA"/>
        <s v="CENTERBOX - CEL CARVALHO"/>
        <s v="COMETA (CASTELO BRANCO)"/>
        <s v="CENTERBOX - JD IRACEMA"/>
        <s v="SUPER LAGOA - MOZART LUCENA"/>
        <s v="COMETA (VILA VELHA)"/>
        <s v="LAG - BARRA DO CEARA"/>
        <s v="MEGA - MESSEJANA"/>
        <s v="SUPER LAGOA - CAMBEBA"/>
        <s v="SUPER DO POVO - CAMBEBA"/>
        <s v="CENTERBOX - BERNARDO MANUEL"/>
        <s v="FRANGOLANDIA - ITAPERI"/>
        <s v="SUPER DO POVO - PASSARE"/>
        <s v="COMETA (JOAO CARLOS)"/>
        <s v="COMETA (SERRINHA)"/>
        <s v="SUPER LAGOA - PASSARE"/>
        <s v="COMETA (PASSARE)"/>
        <s v="PAO DE ACUCAR - SANTOS DUMONT (1220)"/>
        <s v="COMETA (PINTO MADEIRA)"/>
        <s v="SUPER LAGOA - CENTRO"/>
        <s v="COMETA (J DA PENHA)"/>
        <s v="COMETA (JACARECANGA)"/>
        <s v="PAO DE ACUCAR - NAUTICO (1004)"/>
        <s v="PAO DE ACUCAR - MUCURIPE (1257)"/>
        <s v="PINHEIRO - PRAIA DE IRACEMA"/>
        <s v="COMETA (CENTRO)"/>
        <s v="SUPER DO POVO - JUREMA"/>
        <s v="SUPER DO POVO - CONJUNTO CEARA"/>
        <s v="CENTERBOX - ATACAREJO"/>
        <s v="CENTERBOX - VITAL BRASIL"/>
        <s v="MATEUS - CAUCAIA"/>
        <s v="PINHEIRO - CAMBEBA"/>
        <s v="COMETA (JULIO LIMA)"/>
        <s v="COMETA (JOSE LEON)"/>
        <s v="SUPER DO POVO - GUARARAPES"/>
        <s v="FRANGOLANDIA - GUARARAPES"/>
        <s v="COMETA (OLIVEIRA PAIVA)"/>
        <s v="PINHEIRO - ROGACIANO LEITE"/>
        <s v="COMETA (ED BR SOARES)"/>
        <s v="COMETA (PATIO OLIVEIRA PAIVA)"/>
        <s v="CENTERBOX - PRQ IRACEMA"/>
        <s v="PINHEIRO - PORTO DAS DUNAS"/>
        <s v="COMETA (EUSEBIO)"/>
        <s v="CENTERBOX - MESSEJANA - LJ 02"/>
        <s v="FRANGOLANDIA - EUSEBIO"/>
        <s v="CENTERBOX - VALPARAISO"/>
        <s v="CENTERBOX - PARQUE DOM PEDRO"/>
        <s v="CENTERBOX - PARQUE SANTA MARIA"/>
        <s v="CENTERBOX - PEDRAS"/>
        <s v="SUPER LAGOA - SANTOS DUMONT"/>
        <s v="SUPER LAGOA - CIDADE 2000"/>
        <s v="FRANGOLANDIA - COCO"/>
        <s v="CENTERBOX - CONCEITO"/>
        <s v="PAO DE ACUCAR - COCO (1253)"/>
        <s v="CENTERBOX - SANTOS DUMONT"/>
        <s v="PAO DE ACUCAR - IGUATEMI (1339)"/>
        <s v="SUPER LAGOA - LUCIANO CAVALCANTE"/>
        <s v="PAO DE ACUCAR - LUCIANO CAVALCANTE (2374)"/>
        <s v="COMETA (ENGENHEIRO SANTANA JR)"/>
        <s v="FRANGOLANDIA - SANTOS DUMONT"/>
        <s v="FRANGOLANDIA - MOLINA CENTER"/>
        <s v="COMETA (ANTONIO SALES)"/>
        <s v="EXTRA - RODOVIARIA (1404)"/>
        <s v="COMETA (FATIMA)"/>
        <s v="PAO DE ACUCAR - FATIMA (0255)"/>
        <s v="PAO DE ACUCAR - AGUANAMBI (1398)"/>
        <s v="COMETA (TREZE DE MAIO)"/>
        <s v="FRANGOLANDIA - RUI BARBOSA"/>
        <s v="COMETA (ILDEFONSO ALBANO)"/>
        <s v="COMETA (BARAO DO RIO BRANCO)"/>
        <s v="COMETA (WALDIR DIOGO)"/>
        <s v="CENTERBOX - PRQ SAO JOSE"/>
        <s v="COMETA (OSORIO DE PAIVA)"/>
        <s v="PINHEIRO - MARANGUAPE"/>
        <s v="MATEUS - MARANGUAPE"/>
        <s v="CENTERBOX - PANAMERICANO"/>
        <s v="PINHEIRO - PANAMERICANO"/>
        <s v="FRANGOLANDIA - MONTE CASTELO"/>
        <s v="FRANGOLANDIA - PARQUE ARAXA"/>
        <s v="COMETA (JOVITA FEITOSA)"/>
        <s v="CENTERBOX - PARQUELANDIA"/>
        <s v="SUPER LAGOA - RODOLFO TEOFILO"/>
        <s v="SUPER LAGOA - NORTH SHOPPING"/>
        <s v="PAO DE ACUCAR - BEZERRA DE MENEZES (2375)"/>
        <s v="COMETA (PRESIDENTE KENNEDY)"/>
        <s v="FRANGOLANDIA - MESSEJANA"/>
        <s v="COMETA (FREI CIRILO)"/>
        <s v="PINHEIRO - WASHINGTON SOARES"/>
        <s v="PINHEIRO - MESSEJANA"/>
        <s v="LAG - MESSEJANA"/>
        <s v="COMETA (JOAQUIM FELICIO)"/>
        <s v="CENTERBOX - MESSEJANA - LJ 01"/>
        <s v="CENTERBOX - LAGOA REDONDA"/>
        <s v="CENTERBOX - CURIO"/>
        <s v="COMETA (MESSEJANA)"/>
        <s v="COMETA (MATOS DOURADO)"/>
        <s v="SUPER DO POVO - HENRIQUE JORGE"/>
        <s v="COMETA (HENRIQUE JORGE)"/>
        <s v="CENTERBOX - PRQ GENIBAU"/>
        <s v="MATEUS - HENRIQUE JORGE"/>
      </sharedItems>
    </cacheField>
    <cacheField name="ENDEREÇO" numFmtId="0">
      <sharedItems/>
    </cacheField>
    <cacheField name="BAIRRO" numFmtId="0">
      <sharedItems/>
    </cacheField>
    <cacheField name="SEG" numFmtId="0">
      <sharedItems containsString="0" containsBlank="1" containsNumber="1" containsInteger="1" minValue="1" maxValue="1"/>
    </cacheField>
    <cacheField name="TER" numFmtId="0">
      <sharedItems containsString="0" containsBlank="1" containsNumber="1" containsInteger="1" minValue="1" maxValue="1"/>
    </cacheField>
    <cacheField name="QUA" numFmtId="0">
      <sharedItems containsString="0" containsBlank="1" containsNumber="1" containsInteger="1" minValue="1" maxValue="1"/>
    </cacheField>
    <cacheField name="QUI" numFmtId="0">
      <sharedItems containsString="0" containsBlank="1" containsNumber="1" containsInteger="1" minValue="1" maxValue="1"/>
    </cacheField>
    <cacheField name="SEX" numFmtId="0">
      <sharedItems containsString="0" containsBlank="1" containsNumber="1" containsInteger="1" minValue="1" maxValue="1"/>
    </cacheField>
    <cacheField name="SÁB" numFmtId="0">
      <sharedItems containsString="0" containsBlank="1" containsNumber="1" containsInteger="1" minValue="1" maxValue="1"/>
    </cacheField>
    <cacheField name="TOTAL" numFmtId="0">
      <sharedItems containsSemiMixedTypes="0" containsString="0" containsNumber="1" containsInteger="1" minValue="1" maxValue="6"/>
    </cacheField>
    <cacheField name="Mix de produtos quantidade" numFmtId="0">
      <sharedItems containsSemiMixedTypes="0" containsString="0" containsNumber="1" containsInteger="1" minValue="6" maxValue="38" count="19">
        <n v="38"/>
        <n v="35"/>
        <n v="7"/>
        <n v="36"/>
        <n v="33"/>
        <n v="19"/>
        <n v="32"/>
        <n v="34"/>
        <n v="23"/>
        <n v="9"/>
        <n v="37"/>
        <n v="14"/>
        <n v="11"/>
        <n v="31"/>
        <n v="12"/>
        <n v="13"/>
        <n v="6"/>
        <n v="30"/>
        <n v="26"/>
      </sharedItems>
    </cacheField>
  </cacheFields>
  <extLst>
    <ext xmlns:x14="http://schemas.microsoft.com/office/spreadsheetml/2009/9/main" uri="{725AE2AE-9491-48be-B2B4-4EB974FC3084}">
      <x14:pivotCacheDefinition pivotCacheId="119788511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 0025" refreshedDate="45798.677765046297" backgroundQuery="1" createdVersion="8" refreshedVersion="8" minRefreshableVersion="3" recordCount="0" supportSubquery="1" supportAdvancedDrill="1" xr:uid="{14501C1D-DF4D-44EE-80D3-C81E18048057}">
  <cacheSource type="external" connectionId="1"/>
  <cacheFields count="1">
    <cacheField name="[Intervalo].[Promotor].[Promotor]" caption="Promotor" numFmtId="0" hierarchy="1" level="1">
      <sharedItems count="16">
        <s v="ana Paula marques"/>
        <s v="Antonio José Vieira filho"/>
        <s v="Bruno Alves"/>
        <s v="caio silva"/>
        <s v="Christian William"/>
        <s v="davi lima"/>
        <s v="Franklin teran"/>
        <s v="Geissy Kelly  Gomes"/>
        <s v="Henrique Ponce"/>
        <s v="herryson mesquita"/>
        <s v="João makson Oliveira"/>
        <s v="Laryssa kelvin Martins"/>
        <s v="max Monteiro"/>
        <s v="Natalia Oliveira"/>
        <s v="Paula Celia"/>
        <s v="thalys frota"/>
      </sharedItems>
    </cacheField>
  </cacheFields>
  <cacheHierarchies count="19">
    <cacheHierarchy uniqueName="[Intervalo].[Id]" caption="Id" attribute="1" defaultMemberUniqueName="[Intervalo].[Id].[All]" allUniqueName="[Intervalo].[Id].[All]" dimensionUniqueName="[Intervalo]" displayFolder="" count="2" memberValueDatatype="20" unbalanced="0"/>
    <cacheHierarchy uniqueName="[Intervalo].[Promotor]" caption="Promotor" attribute="1" defaultMemberUniqueName="[Intervalo].[Promotor].[All]" allUniqueName="[Intervalo].[Promotor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CÓD]" caption="CÓD" attribute="1" defaultMemberUniqueName="[Intervalo].[CÓD].[All]" allUniqueName="[Intervalo].[CÓD].[All]" dimensionUniqueName="[Intervalo]" displayFolder="" count="2" memberValueDatatype="20" unbalanced="0"/>
    <cacheHierarchy uniqueName="[Intervalo].[RAZAO SOCIAL]" caption="RAZAO SOCIAL" attribute="1" defaultMemberUniqueName="[Intervalo].[RAZAO SOCIAL].[All]" allUniqueName="[Intervalo].[RAZAO SOCIAL].[All]" dimensionUniqueName="[Intervalo]" displayFolder="" count="2" memberValueDatatype="130" unbalanced="0"/>
    <cacheHierarchy uniqueName="[Intervalo].[ENDEREÇO]" caption="ENDEREÇO" attribute="1" defaultMemberUniqueName="[Intervalo].[ENDEREÇO].[All]" allUniqueName="[Intervalo].[ENDEREÇO].[All]" dimensionUniqueName="[Intervalo]" displayFolder="" count="2" memberValueDatatype="130" unbalanced="0"/>
    <cacheHierarchy uniqueName="[Intervalo].[BAIRRO]" caption="BAIRRO" attribute="1" defaultMemberUniqueName="[Intervalo].[BAIRRO].[All]" allUniqueName="[Intervalo].[BAIRRO].[All]" dimensionUniqueName="[Intervalo]" displayFolder="" count="2" memberValueDatatype="130" unbalanced="0"/>
    <cacheHierarchy uniqueName="[Intervalo].[CIDADE]" caption="CIDADE" attribute="1" defaultMemberUniqueName="[Intervalo].[CIDADE].[All]" allUniqueName="[Intervalo].[CIDADE].[All]" dimensionUniqueName="[Intervalo]" displayFolder="" count="2" memberValueDatatype="130" unbalanced="0"/>
    <cacheHierarchy uniqueName="[Intervalo].[MENS/QUIN/SEM/TRI/4SEM]" caption="MENS/QUIN/SEM/TRI/4SEM" attribute="1" defaultMemberUniqueName="[Intervalo].[MENS/QUIN/SEM/TRI/4SEM].[All]" allUniqueName="[Intervalo].[MENS/QUIN/SEM/TRI/4SEM].[All]" dimensionUniqueName="[Intervalo]" displayFolder="" count="2" memberValueDatatype="130" unbalanced="0"/>
    <cacheHierarchy uniqueName="[Intervalo].[DATA INÍCIO DO CICLO]" caption="DATA INÍCIO DO CICLO" attribute="1" defaultMemberUniqueName="[Intervalo].[DATA INÍCIO DO CICLO].[All]" allUniqueName="[Intervalo].[DATA INÍCIO DO CICLO].[All]" dimensionUniqueName="[Intervalo]" displayFolder="" count="2" memberValueDatatype="130" unbalanced="0"/>
    <cacheHierarchy uniqueName="[Intervalo].[SEG]" caption="SEG" attribute="1" defaultMemberUniqueName="[Intervalo].[SEG].[All]" allUniqueName="[Intervalo].[SEG].[All]" dimensionUniqueName="[Intervalo]" displayFolder="" count="2" memberValueDatatype="20" unbalanced="0"/>
    <cacheHierarchy uniqueName="[Intervalo].[TER]" caption="TER" attribute="1" defaultMemberUniqueName="[Intervalo].[TER].[All]" allUniqueName="[Intervalo].[TER].[All]" dimensionUniqueName="[Intervalo]" displayFolder="" count="2" memberValueDatatype="20" unbalanced="0"/>
    <cacheHierarchy uniqueName="[Intervalo].[QUA]" caption="QUA" attribute="1" defaultMemberUniqueName="[Intervalo].[QUA].[All]" allUniqueName="[Intervalo].[QUA].[All]" dimensionUniqueName="[Intervalo]" displayFolder="" count="2" memberValueDatatype="20" unbalanced="0"/>
    <cacheHierarchy uniqueName="[Intervalo].[QUI]" caption="QUI" attribute="1" defaultMemberUniqueName="[Intervalo].[QUI].[All]" allUniqueName="[Intervalo].[QUI].[All]" dimensionUniqueName="[Intervalo]" displayFolder="" count="2" memberValueDatatype="20" unbalanced="0"/>
    <cacheHierarchy uniqueName="[Intervalo].[SEX]" caption="SEX" attribute="1" defaultMemberUniqueName="[Intervalo].[SEX].[All]" allUniqueName="[Intervalo].[SEX].[All]" dimensionUniqueName="[Intervalo]" displayFolder="" count="2" memberValueDatatype="20" unbalanced="0"/>
    <cacheHierarchy uniqueName="[Intervalo].[SÁB]" caption="SÁB" attribute="1" defaultMemberUniqueName="[Intervalo].[SÁB].[All]" allUniqueName="[Intervalo].[SÁB].[All]" dimensionUniqueName="[Intervalo]" displayFolder="" count="2" memberValueDatatype="2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Contagem de Promotor]" caption="Contagem de Promotor" measure="1" displayFolder="" measureGroup="Interval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]" caption="Soma de CÓD" measure="1" displayFolder="" measureGroup="Interval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 0025" refreshedDate="45796.632135879627" backgroundQuery="1" createdVersion="3" refreshedVersion="8" minRefreshableVersion="3" recordCount="0" supportSubquery="1" supportAdvancedDrill="1" xr:uid="{36809DAF-6ADE-4941-9385-16A5CE244027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9">
    <cacheHierarchy uniqueName="[Intervalo].[Id]" caption="Id" attribute="1" defaultMemberUniqueName="[Intervalo].[Id].[All]" allUniqueName="[Intervalo].[Id].[All]" dimensionUniqueName="[Intervalo]" displayFolder="" count="0" memberValueDatatype="20" unbalanced="0"/>
    <cacheHierarchy uniqueName="[Intervalo].[Promotor]" caption="Promotor" attribute="1" defaultMemberUniqueName="[Intervalo].[Promotor].[All]" allUniqueName="[Intervalo].[Promotor].[All]" dimensionUniqueName="[Intervalo]" displayFolder="" count="2" memberValueDatatype="130" unbalanced="0"/>
    <cacheHierarchy uniqueName="[Intervalo].[CÓD]" caption="CÓD" attribute="1" defaultMemberUniqueName="[Intervalo].[CÓD].[All]" allUniqueName="[Intervalo].[CÓD].[All]" dimensionUniqueName="[Intervalo]" displayFolder="" count="0" memberValueDatatype="20" unbalanced="0"/>
    <cacheHierarchy uniqueName="[Intervalo].[RAZAO SOCIAL]" caption="RAZAO SOCIAL" attribute="1" defaultMemberUniqueName="[Intervalo].[RAZAO SOCIAL].[All]" allUniqueName="[Intervalo].[RAZAO SOCIAL].[All]" dimensionUniqueName="[Intervalo]" displayFolder="" count="0" memberValueDatatype="130" unbalanced="0"/>
    <cacheHierarchy uniqueName="[Intervalo].[ENDEREÇO]" caption="ENDEREÇO" attribute="1" defaultMemberUniqueName="[Intervalo].[ENDEREÇO].[All]" allUniqueName="[Intervalo].[ENDEREÇO].[All]" dimensionUniqueName="[Intervalo]" displayFolder="" count="0" memberValueDatatype="130" unbalanced="0"/>
    <cacheHierarchy uniqueName="[Intervalo].[BAIRRO]" caption="BAIRRO" attribute="1" defaultMemberUniqueName="[Intervalo].[BAIRRO].[All]" allUniqueName="[Intervalo].[BAIRRO].[All]" dimensionUniqueName="[Intervalo]" displayFolder="" count="0" memberValueDatatype="130" unbalanced="0"/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MENS/QUIN/SEM/TRI/4SEM]" caption="MENS/QUIN/SEM/TRI/4SEM" attribute="1" defaultMemberUniqueName="[Intervalo].[MENS/QUIN/SEM/TRI/4SEM].[All]" allUniqueName="[Intervalo].[MENS/QUIN/SEM/TRI/4SEM].[All]" dimensionUniqueName="[Intervalo]" displayFolder="" count="0" memberValueDatatype="130" unbalanced="0"/>
    <cacheHierarchy uniqueName="[Intervalo].[DATA INÍCIO DO CICLO]" caption="DATA INÍCIO DO CICLO" attribute="1" defaultMemberUniqueName="[Intervalo].[DATA INÍCIO DO CICLO].[All]" allUniqueName="[Intervalo].[DATA INÍCIO DO CICLO].[All]" dimensionUniqueName="[Intervalo]" displayFolder="" count="0" memberValueDatatype="130" unbalanced="0"/>
    <cacheHierarchy uniqueName="[Intervalo].[SEG]" caption="SEG" attribute="1" defaultMemberUniqueName="[Intervalo].[SEG].[All]" allUniqueName="[Intervalo].[SEG].[All]" dimensionUniqueName="[Intervalo]" displayFolder="" count="0" memberValueDatatype="20" unbalanced="0"/>
    <cacheHierarchy uniqueName="[Intervalo].[TER]" caption="TER" attribute="1" defaultMemberUniqueName="[Intervalo].[TER].[All]" allUniqueName="[Intervalo].[TER].[All]" dimensionUniqueName="[Intervalo]" displayFolder="" count="0" memberValueDatatype="20" unbalanced="0"/>
    <cacheHierarchy uniqueName="[Intervalo].[QUA]" caption="QUA" attribute="1" defaultMemberUniqueName="[Intervalo].[QUA].[All]" allUniqueName="[Intervalo].[QUA].[All]" dimensionUniqueName="[Intervalo]" displayFolder="" count="0" memberValueDatatype="20" unbalanced="0"/>
    <cacheHierarchy uniqueName="[Intervalo].[QUI]" caption="QUI" attribute="1" defaultMemberUniqueName="[Intervalo].[QUI].[All]" allUniqueName="[Intervalo].[QUI].[All]" dimensionUniqueName="[Intervalo]" displayFolder="" count="0" memberValueDatatype="20" unbalanced="0"/>
    <cacheHierarchy uniqueName="[Intervalo].[SEX]" caption="SEX" attribute="1" defaultMemberUniqueName="[Intervalo].[SEX].[All]" allUniqueName="[Intervalo].[SEX].[All]" dimensionUniqueName="[Intervalo]" displayFolder="" count="0" memberValueDatatype="20" unbalanced="0"/>
    <cacheHierarchy uniqueName="[Intervalo].[SÁB]" caption="SÁB" attribute="1" defaultMemberUniqueName="[Intervalo].[SÁB].[All]" allUniqueName="[Intervalo].[SÁB].[All]" dimensionUniqueName="[Intervalo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Contagem de Promotor]" caption="Contagem de Promotor" measure="1" displayFolder="" measureGroup="Interval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]" caption="Soma de CÓD" measure="1" displayFolder="" measureGroup="Interval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8226307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n v="10931"/>
    <x v="0"/>
    <x v="0"/>
    <x v="0"/>
    <s v="Av. Godofredo Maciel, 2540"/>
    <s v=" Maraponga"/>
    <n v="1"/>
    <m/>
    <n v="1"/>
    <m/>
    <n v="1"/>
    <m/>
    <n v="3"/>
    <x v="0"/>
  </r>
  <r>
    <n v="10931"/>
    <x v="0"/>
    <x v="1"/>
    <x v="1"/>
    <s v="RUA CACILDA BECKER, 270"/>
    <s v="JOAO XXIII"/>
    <m/>
    <n v="1"/>
    <m/>
    <n v="1"/>
    <m/>
    <n v="1"/>
    <n v="3"/>
    <x v="1"/>
  </r>
  <r>
    <n v="10931"/>
    <x v="0"/>
    <x v="2"/>
    <x v="2"/>
    <s v="AVENIDA GODOFREDO MACIEL, 1152"/>
    <s v="MARAPONGA"/>
    <n v="1"/>
    <m/>
    <n v="1"/>
    <m/>
    <m/>
    <m/>
    <n v="2"/>
    <x v="2"/>
  </r>
  <r>
    <n v="10931"/>
    <x v="0"/>
    <x v="3"/>
    <x v="3"/>
    <s v="AVENIDA GODOFREDO MACIEL, 1945"/>
    <s v="MARAPONGA"/>
    <n v="1"/>
    <m/>
    <n v="1"/>
    <m/>
    <n v="1"/>
    <m/>
    <n v="3"/>
    <x v="3"/>
  </r>
  <r>
    <n v="10931"/>
    <x v="0"/>
    <x v="4"/>
    <x v="4"/>
    <s v="Rua 15 de Novembro, 340"/>
    <s v="MONTESE"/>
    <n v="1"/>
    <m/>
    <n v="1"/>
    <m/>
    <n v="1"/>
    <m/>
    <n v="3"/>
    <x v="0"/>
  </r>
  <r>
    <n v="10931"/>
    <x v="0"/>
    <x v="5"/>
    <x v="5"/>
    <s v="RUA GOMES BRASIL, 201"/>
    <s v="PARANGABA"/>
    <n v="1"/>
    <m/>
    <m/>
    <m/>
    <n v="1"/>
    <m/>
    <n v="2"/>
    <x v="2"/>
  </r>
  <r>
    <n v="10931"/>
    <x v="0"/>
    <x v="6"/>
    <x v="6"/>
    <s v="AVENIDA GEN OSORIO DE PAIVA, 2951"/>
    <s v="VILA PERI"/>
    <m/>
    <n v="1"/>
    <m/>
    <n v="1"/>
    <m/>
    <m/>
    <n v="2"/>
    <x v="3"/>
  </r>
  <r>
    <n v="10931"/>
    <x v="0"/>
    <x v="7"/>
    <x v="7"/>
    <s v="RUA DESEMBARGADOR PRAXEDES, 163"/>
    <s v="Damas"/>
    <m/>
    <n v="1"/>
    <m/>
    <n v="1"/>
    <m/>
    <n v="1"/>
    <n v="3"/>
    <x v="4"/>
  </r>
  <r>
    <n v="10931"/>
    <x v="0"/>
    <x v="8"/>
    <x v="8"/>
    <s v="Rua Aluisio Azevedo - lado par, 86"/>
    <s v="JOQUEI CLUBE"/>
    <m/>
    <n v="1"/>
    <m/>
    <n v="1"/>
    <m/>
    <m/>
    <n v="2"/>
    <x v="3"/>
  </r>
  <r>
    <n v="11587"/>
    <x v="1"/>
    <x v="9"/>
    <x v="9"/>
    <s v="AVENIDA BERNARDO MANUEL, 11000"/>
    <s v="MONDUBIM"/>
    <n v="1"/>
    <m/>
    <n v="1"/>
    <m/>
    <n v="1"/>
    <m/>
    <n v="3"/>
    <x v="2"/>
  </r>
  <r>
    <n v="11587"/>
    <x v="1"/>
    <x v="10"/>
    <x v="10"/>
    <s v="RUA G , 200"/>
    <s v="PARQUE DOIS IRMAOS"/>
    <m/>
    <n v="1"/>
    <m/>
    <n v="1"/>
    <m/>
    <m/>
    <n v="2"/>
    <x v="5"/>
  </r>
  <r>
    <n v="11587"/>
    <x v="1"/>
    <x v="11"/>
    <x v="11"/>
    <s v="Av. Joao de Araujo Lima, 1092"/>
    <s v="Pref. Jose Walter"/>
    <m/>
    <n v="1"/>
    <m/>
    <n v="1"/>
    <m/>
    <m/>
    <n v="2"/>
    <x v="5"/>
  </r>
  <r>
    <n v="11587"/>
    <x v="1"/>
    <x v="12"/>
    <x v="12"/>
    <s v="Av.Joao de Araujo Lima, 1042"/>
    <s v="PREFEITO JOSE WALTER"/>
    <n v="1"/>
    <m/>
    <n v="1"/>
    <m/>
    <n v="1"/>
    <m/>
    <n v="3"/>
    <x v="1"/>
  </r>
  <r>
    <n v="11587"/>
    <x v="1"/>
    <x v="13"/>
    <x v="13"/>
    <s v="Avenida Presidente Costa e Silva, 2646"/>
    <s v="MONDUBIM"/>
    <n v="1"/>
    <n v="1"/>
    <n v="1"/>
    <n v="1"/>
    <n v="1"/>
    <n v="1"/>
    <n v="6"/>
    <x v="3"/>
  </r>
  <r>
    <n v="11023"/>
    <x v="2"/>
    <x v="14"/>
    <x v="14"/>
    <s v="Rua Frei Mansueto, 909"/>
    <s v=" Varjota"/>
    <n v="1"/>
    <m/>
    <n v="1"/>
    <m/>
    <n v="1"/>
    <m/>
    <n v="3"/>
    <x v="0"/>
  </r>
  <r>
    <n v="11023"/>
    <x v="2"/>
    <x v="15"/>
    <x v="15"/>
    <s v="AVENIDA SEN VIRGILIO TAVORA, 2201"/>
    <s v="ALDEOTA"/>
    <m/>
    <n v="1"/>
    <m/>
    <n v="1"/>
    <m/>
    <n v="1"/>
    <n v="3"/>
    <x v="6"/>
  </r>
  <r>
    <n v="11023"/>
    <x v="2"/>
    <x v="16"/>
    <x v="16"/>
    <s v="COSTA BARROS, 1270"/>
    <s v="ALDEOTA"/>
    <n v="1"/>
    <m/>
    <n v="1"/>
    <m/>
    <m/>
    <m/>
    <n v="2"/>
    <x v="7"/>
  </r>
  <r>
    <n v="11023"/>
    <x v="2"/>
    <x v="17"/>
    <x v="17"/>
    <s v="AVENIDA PE ANTONIO TOMAS, 871"/>
    <s v="ALDEOTA"/>
    <m/>
    <n v="1"/>
    <m/>
    <n v="1"/>
    <m/>
    <m/>
    <n v="2"/>
    <x v="8"/>
  </r>
  <r>
    <n v="11023"/>
    <x v="2"/>
    <x v="18"/>
    <x v="18"/>
    <s v="RUA BARBARA DE ALENCAR, 1887"/>
    <s v="ALDEOTA"/>
    <n v="1"/>
    <m/>
    <n v="1"/>
    <m/>
    <m/>
    <m/>
    <n v="2"/>
    <x v="9"/>
  </r>
  <r>
    <n v="11023"/>
    <x v="2"/>
    <x v="19"/>
    <x v="19"/>
    <s v="Av. Santos Dumont, 2680"/>
    <s v="ALDEOTA"/>
    <n v="1"/>
    <m/>
    <n v="1"/>
    <m/>
    <n v="1"/>
    <m/>
    <n v="3"/>
    <x v="10"/>
  </r>
  <r>
    <n v="11023"/>
    <x v="2"/>
    <x v="20"/>
    <x v="20"/>
    <s v="AVENIDA SANTOS DUMONT, 3130"/>
    <s v="ALDEOTA"/>
    <m/>
    <m/>
    <m/>
    <n v="1"/>
    <m/>
    <m/>
    <n v="1"/>
    <x v="11"/>
  </r>
  <r>
    <n v="11023"/>
    <x v="2"/>
    <x v="21"/>
    <x v="21"/>
    <s v="RUA TIBURCIO CAVALCANTE, 1885"/>
    <s v="ALDEOTA"/>
    <n v="1"/>
    <m/>
    <n v="1"/>
    <m/>
    <n v="1"/>
    <m/>
    <n v="3"/>
    <x v="1"/>
  </r>
  <r>
    <n v="11023"/>
    <x v="2"/>
    <x v="22"/>
    <x v="22"/>
    <s v="AVENIDA ANTONIO SALES, 3266"/>
    <s v="DIONISIO TORRES"/>
    <m/>
    <n v="1"/>
    <m/>
    <m/>
    <m/>
    <m/>
    <n v="1"/>
    <x v="2"/>
  </r>
  <r>
    <n v="11023"/>
    <x v="2"/>
    <x v="23"/>
    <x v="23"/>
    <s v="Rua Monsenhor Bruno, 2333"/>
    <s v="Joaquim Tavora"/>
    <m/>
    <m/>
    <m/>
    <m/>
    <n v="1"/>
    <m/>
    <n v="1"/>
    <x v="5"/>
  </r>
  <r>
    <n v="11023"/>
    <x v="2"/>
    <x v="24"/>
    <x v="24"/>
    <s v="AVENIDA SEN VIRGILIO TAVORA, 847"/>
    <s v="MEIRELES"/>
    <m/>
    <n v="1"/>
    <m/>
    <n v="1"/>
    <m/>
    <n v="1"/>
    <n v="3"/>
    <x v="1"/>
  </r>
  <r>
    <n v="11679"/>
    <x v="3"/>
    <x v="25"/>
    <x v="25"/>
    <s v="AVENIDA GODOFREDO MACIEL, 4035"/>
    <s v="MONDUBIM"/>
    <n v="1"/>
    <m/>
    <n v="1"/>
    <m/>
    <n v="1"/>
    <m/>
    <n v="3"/>
    <x v="4"/>
  </r>
  <r>
    <n v="11679"/>
    <x v="3"/>
    <x v="26"/>
    <x v="26"/>
    <s v="AVENIDA GODOFREDO MACIEL, 4000"/>
    <s v="MONDUBIM"/>
    <n v="1"/>
    <m/>
    <n v="1"/>
    <m/>
    <n v="1"/>
    <m/>
    <n v="3"/>
    <x v="2"/>
  </r>
  <r>
    <n v="11679"/>
    <x v="3"/>
    <x v="27"/>
    <x v="27"/>
    <s v="R. Cap. Valdemar de Lima, 71"/>
    <s v=" Centro"/>
    <m/>
    <n v="1"/>
    <m/>
    <n v="1"/>
    <m/>
    <m/>
    <n v="2"/>
    <x v="0"/>
  </r>
  <r>
    <n v="11679"/>
    <x v="3"/>
    <x v="28"/>
    <x v="28"/>
    <s v="RUA CAP VALDEMAR DE LIMA, 140"/>
    <s v="BOA VISTA"/>
    <m/>
    <n v="1"/>
    <m/>
    <n v="1"/>
    <m/>
    <m/>
    <n v="2"/>
    <x v="1"/>
  </r>
  <r>
    <n v="11679"/>
    <x v="3"/>
    <x v="29"/>
    <x v="29"/>
    <s v="AV. Dr.  MENDEL STEINBRUCH, 14618"/>
    <s v="PAJUCARA"/>
    <n v="1"/>
    <n v="1"/>
    <n v="1"/>
    <n v="1"/>
    <n v="1"/>
    <n v="1"/>
    <n v="6"/>
    <x v="3"/>
  </r>
  <r>
    <n v="11678"/>
    <x v="4"/>
    <x v="30"/>
    <x v="30"/>
    <s v="AVENIDA EDSON DA MOTA CORREIA, 1125"/>
    <s v="CENTRO"/>
    <n v="1"/>
    <m/>
    <n v="1"/>
    <m/>
    <n v="1"/>
    <m/>
    <n v="3"/>
    <x v="4"/>
  </r>
  <r>
    <n v="11678"/>
    <x v="4"/>
    <x v="31"/>
    <x v="31"/>
    <s v="AV FRANCISCO SA, 4474"/>
    <s v="ALVARO WEYNE"/>
    <n v="1"/>
    <m/>
    <n v="1"/>
    <m/>
    <n v="1"/>
    <m/>
    <n v="3"/>
    <x v="0"/>
  </r>
  <r>
    <n v="11678"/>
    <x v="4"/>
    <x v="32"/>
    <x v="32"/>
    <s v="AVENIDA CEL CARVALHO, 901"/>
    <s v="BARRA DO CEARA"/>
    <m/>
    <n v="1"/>
    <m/>
    <n v="1"/>
    <m/>
    <n v="1"/>
    <n v="3"/>
    <x v="7"/>
  </r>
  <r>
    <n v="11678"/>
    <x v="4"/>
    <x v="33"/>
    <x v="33"/>
    <s v="AVENIDA CEL CARVALHO, 1261"/>
    <s v="BARRA DO CEARA"/>
    <m/>
    <n v="1"/>
    <m/>
    <n v="1"/>
    <m/>
    <n v="1"/>
    <n v="3"/>
    <x v="7"/>
  </r>
  <r>
    <n v="11678"/>
    <x v="4"/>
    <x v="34"/>
    <x v="34"/>
    <s v="AVENIDA PRES CASTELO BRANCO, 5211"/>
    <s v="BARRA DO CEARA"/>
    <n v="1"/>
    <m/>
    <n v="1"/>
    <m/>
    <n v="1"/>
    <m/>
    <n v="3"/>
    <x v="4"/>
  </r>
  <r>
    <n v="11678"/>
    <x v="4"/>
    <x v="35"/>
    <x v="35"/>
    <s v="RUA ALBERTO DE OLIVEIRA, 1739"/>
    <s v="FLORESTA"/>
    <m/>
    <n v="1"/>
    <m/>
    <n v="1"/>
    <m/>
    <m/>
    <n v="2"/>
    <x v="7"/>
  </r>
  <r>
    <n v="11678"/>
    <x v="4"/>
    <x v="36"/>
    <x v="36"/>
    <s v="AVENIDA MOZART PINHEIRO DE LUCENA, 1711"/>
    <s v="VILA VELHA"/>
    <m/>
    <n v="1"/>
    <m/>
    <n v="1"/>
    <m/>
    <m/>
    <n v="2"/>
    <x v="2"/>
  </r>
  <r>
    <n v="11678"/>
    <x v="4"/>
    <x v="37"/>
    <x v="37"/>
    <s v="RUA PEDRO SAMPAIO, 778"/>
    <s v="VILA VELHA"/>
    <m/>
    <n v="1"/>
    <m/>
    <n v="1"/>
    <n v="1"/>
    <m/>
    <n v="3"/>
    <x v="3"/>
  </r>
  <r>
    <n v="11678"/>
    <x v="4"/>
    <x v="38"/>
    <x v="38"/>
    <s v="Avenida Presidente Castelo Branco - de 4237 ao fim - lado, 5943"/>
    <s v="BARRA DO CEARA"/>
    <n v="1"/>
    <m/>
    <n v="1"/>
    <m/>
    <m/>
    <m/>
    <n v="2"/>
    <x v="12"/>
  </r>
  <r>
    <n v="11868"/>
    <x v="5"/>
    <x v="39"/>
    <x v="39"/>
    <s v="AVENIDA FREI CIRILO, 3270"/>
    <s v="CAJAZEIRAS"/>
    <m/>
    <n v="1"/>
    <m/>
    <n v="1"/>
    <m/>
    <n v="1"/>
    <n v="3"/>
    <x v="13"/>
  </r>
  <r>
    <n v="11868"/>
    <x v="5"/>
    <x v="40"/>
    <x v="40"/>
    <s v="AVENIDA PEDRO LAZAR, 877"/>
    <s v="CAMBEBA"/>
    <m/>
    <n v="1"/>
    <m/>
    <n v="1"/>
    <m/>
    <m/>
    <n v="2"/>
    <x v="12"/>
  </r>
  <r>
    <n v="11868"/>
    <x v="5"/>
    <x v="41"/>
    <x v="41"/>
    <s v="AVENIDA MINISTRO JOSE AMERICO, 709"/>
    <s v="CAMBEBA"/>
    <m/>
    <n v="1"/>
    <m/>
    <n v="1"/>
    <m/>
    <m/>
    <n v="2"/>
    <x v="5"/>
  </r>
  <r>
    <n v="11868"/>
    <x v="5"/>
    <x v="42"/>
    <x v="42"/>
    <s v="AVENIDA BERNARDO MANUEL, 10070"/>
    <s v="DENDE"/>
    <n v="1"/>
    <m/>
    <n v="1"/>
    <m/>
    <n v="1"/>
    <m/>
    <n v="3"/>
    <x v="7"/>
  </r>
  <r>
    <n v="11868"/>
    <x v="5"/>
    <x v="43"/>
    <x v="43"/>
    <s v="AV BERNARDO MANUEL, 8314"/>
    <s v="ITAPERI"/>
    <n v="1"/>
    <m/>
    <n v="1"/>
    <m/>
    <n v="1"/>
    <m/>
    <n v="3"/>
    <x v="0"/>
  </r>
  <r>
    <n v="11868"/>
    <x v="5"/>
    <x v="44"/>
    <x v="44"/>
    <s v="RUA XII, 200"/>
    <s v="PASSARE"/>
    <m/>
    <n v="1"/>
    <m/>
    <n v="1"/>
    <m/>
    <n v="1"/>
    <n v="3"/>
    <x v="5"/>
  </r>
  <r>
    <n v="11868"/>
    <x v="5"/>
    <x v="45"/>
    <x v="45"/>
    <s v="RUA GOVERNADOR JOAO CARLOS, 858"/>
    <s v="SERRINHA"/>
    <n v="1"/>
    <m/>
    <n v="1"/>
    <m/>
    <n v="1"/>
    <m/>
    <n v="3"/>
    <x v="1"/>
  </r>
  <r>
    <n v="11868"/>
    <x v="5"/>
    <x v="46"/>
    <x v="46"/>
    <s v="AVENIDA DR SILAS MUNGUBA, 2965"/>
    <s v="SERRINHA"/>
    <n v="1"/>
    <m/>
    <n v="1"/>
    <m/>
    <n v="1"/>
    <m/>
    <n v="3"/>
    <x v="3"/>
  </r>
  <r>
    <n v="11868"/>
    <x v="5"/>
    <x v="47"/>
    <x v="47"/>
    <s v="AVENIDA DR. SILAS MUNGUBA, 6161"/>
    <s v="PASSARE"/>
    <m/>
    <m/>
    <n v="1"/>
    <m/>
    <n v="1"/>
    <m/>
    <n v="2"/>
    <x v="2"/>
  </r>
  <r>
    <n v="11868"/>
    <x v="5"/>
    <x v="48"/>
    <x v="48"/>
    <s v="AVENIDA DR SILAS MUNGUBA, 4301"/>
    <s v="SERRINHA"/>
    <m/>
    <n v="1"/>
    <m/>
    <n v="1"/>
    <m/>
    <m/>
    <n v="2"/>
    <x v="1"/>
  </r>
  <r>
    <n v="11932"/>
    <x v="6"/>
    <x v="49"/>
    <x v="49"/>
    <s v="AVENIDA SANTOS DUMONT, 1169"/>
    <s v="ALDEOTA"/>
    <m/>
    <n v="1"/>
    <m/>
    <n v="1"/>
    <m/>
    <m/>
    <n v="2"/>
    <x v="12"/>
  </r>
  <r>
    <n v="11932"/>
    <x v="6"/>
    <x v="50"/>
    <x v="50"/>
    <s v="RUA PINTO MADEIRA, 1340"/>
    <s v="ALDEOTA"/>
    <n v="1"/>
    <m/>
    <n v="1"/>
    <m/>
    <n v="1"/>
    <m/>
    <n v="3"/>
    <x v="1"/>
  </r>
  <r>
    <n v="11932"/>
    <x v="6"/>
    <x v="51"/>
    <x v="51"/>
    <s v="RUA SOLON PINHEIRO, 136"/>
    <s v="CENTRO"/>
    <n v="1"/>
    <m/>
    <n v="1"/>
    <m/>
    <m/>
    <m/>
    <n v="2"/>
    <x v="2"/>
  </r>
  <r>
    <n v="11932"/>
    <x v="6"/>
    <x v="52"/>
    <x v="52"/>
    <s v="RUA J DA PENHA, 709"/>
    <s v="CENTRO"/>
    <n v="1"/>
    <m/>
    <n v="1"/>
    <m/>
    <n v="1"/>
    <m/>
    <n v="3"/>
    <x v="1"/>
  </r>
  <r>
    <n v="11932"/>
    <x v="6"/>
    <x v="53"/>
    <x v="53"/>
    <s v="AVENIDA FRANCISCO SA, 2670"/>
    <s v="JACARECANGA"/>
    <n v="1"/>
    <m/>
    <n v="1"/>
    <m/>
    <n v="1"/>
    <m/>
    <n v="3"/>
    <x v="3"/>
  </r>
  <r>
    <n v="11932"/>
    <x v="6"/>
    <x v="54"/>
    <x v="54"/>
    <s v="AVENIDA DA ABOLICAO, 2900"/>
    <s v="MEIRELES"/>
    <m/>
    <n v="1"/>
    <m/>
    <n v="1"/>
    <m/>
    <n v="1"/>
    <n v="3"/>
    <x v="14"/>
  </r>
  <r>
    <n v="11932"/>
    <x v="6"/>
    <x v="55"/>
    <x v="55"/>
    <s v="AVENIDA DA ABOLICAO, 3790"/>
    <s v="MUCURIPE"/>
    <m/>
    <n v="1"/>
    <m/>
    <n v="1"/>
    <m/>
    <m/>
    <n v="2"/>
    <x v="9"/>
  </r>
  <r>
    <n v="11932"/>
    <x v="6"/>
    <x v="56"/>
    <x v="56"/>
    <s v="AVENIDA MONSENHOR TABOSA, 697"/>
    <s v="PRAIA DE IRACEMA"/>
    <m/>
    <m/>
    <m/>
    <m/>
    <m/>
    <n v="1"/>
    <n v="1"/>
    <x v="2"/>
  </r>
  <r>
    <n v="11932"/>
    <x v="6"/>
    <x v="57"/>
    <x v="57"/>
    <s v="RUA SAO PAULO, 01648"/>
    <s v="CENTRO"/>
    <m/>
    <n v="1"/>
    <m/>
    <n v="1"/>
    <m/>
    <m/>
    <n v="2"/>
    <x v="4"/>
  </r>
  <r>
    <n v="11956"/>
    <x v="7"/>
    <x v="58"/>
    <x v="58"/>
    <s v="AVENIDA SAO VICENTE DE PAULA, 101"/>
    <s v="JUREMA"/>
    <m/>
    <n v="1"/>
    <m/>
    <n v="1"/>
    <m/>
    <m/>
    <n v="2"/>
    <x v="5"/>
  </r>
  <r>
    <n v="11956"/>
    <x v="7"/>
    <x v="59"/>
    <x v="59"/>
    <s v="AVENIDA A, 800"/>
    <s v="CONJUNTO CEARA"/>
    <n v="1"/>
    <m/>
    <n v="1"/>
    <m/>
    <n v="1"/>
    <m/>
    <n v="3"/>
    <x v="5"/>
  </r>
  <r>
    <n v="11956"/>
    <x v="7"/>
    <x v="60"/>
    <x v="60"/>
    <s v="RUA SARGENTO JOAO PINHEIRO, 610"/>
    <s v="GRANJA LISBOA"/>
    <m/>
    <n v="1"/>
    <m/>
    <n v="1"/>
    <m/>
    <m/>
    <n v="2"/>
    <x v="15"/>
  </r>
  <r>
    <n v="11956"/>
    <x v="7"/>
    <x v="61"/>
    <x v="61"/>
    <s v="Rua Vital Brasil, 2109"/>
    <s v="Granja Portugal"/>
    <n v="1"/>
    <m/>
    <n v="1"/>
    <m/>
    <n v="1"/>
    <m/>
    <n v="3"/>
    <x v="7"/>
  </r>
  <r>
    <n v="11956"/>
    <x v="7"/>
    <x v="62"/>
    <x v="62"/>
    <s v="Av. Dom Almeida Lustosa, 1989"/>
    <s v="PARQUE GUADALAJARA (JUREMA)"/>
    <n v="1"/>
    <n v="1"/>
    <n v="1"/>
    <n v="1"/>
    <n v="1"/>
    <n v="1"/>
    <n v="6"/>
    <x v="3"/>
  </r>
  <r>
    <n v="12028"/>
    <x v="8"/>
    <x v="63"/>
    <x v="63"/>
    <s v="AV MINISTRO JOSE AMERICO, 284"/>
    <s v="CAMBEBA"/>
    <m/>
    <m/>
    <m/>
    <m/>
    <m/>
    <n v="1"/>
    <n v="1"/>
    <x v="2"/>
  </r>
  <r>
    <n v="12028"/>
    <x v="8"/>
    <x v="64"/>
    <x v="64"/>
    <s v="RUA DR JULIO LIMA, 676"/>
    <s v="CIDADE DOS FUNCIONARIOS"/>
    <n v="1"/>
    <m/>
    <n v="1"/>
    <m/>
    <n v="1"/>
    <m/>
    <n v="3"/>
    <x v="3"/>
  </r>
  <r>
    <n v="12028"/>
    <x v="8"/>
    <x v="65"/>
    <x v="65"/>
    <s v="AVENIDA JOSE LEON, 1120"/>
    <s v="CIDADE DOS FUNCIONARIOS"/>
    <m/>
    <n v="1"/>
    <m/>
    <n v="1"/>
    <m/>
    <m/>
    <n v="2"/>
    <x v="1"/>
  </r>
  <r>
    <n v="12028"/>
    <x v="8"/>
    <x v="66"/>
    <x v="66"/>
    <s v="RUA ATILANO DE MOURA, 320"/>
    <s v="GUARARAPES"/>
    <m/>
    <n v="1"/>
    <m/>
    <n v="1"/>
    <m/>
    <m/>
    <n v="2"/>
    <x v="5"/>
  </r>
  <r>
    <n v="12028"/>
    <x v="8"/>
    <x v="67"/>
    <x v="67"/>
    <s v="Av. Coronel Miguel Dias, 1389"/>
    <s v="Luciano Cavalcante"/>
    <m/>
    <n v="1"/>
    <m/>
    <n v="1"/>
    <m/>
    <m/>
    <n v="2"/>
    <x v="0"/>
  </r>
  <r>
    <n v="12028"/>
    <x v="8"/>
    <x v="68"/>
    <x v="68"/>
    <s v="AVENIDA OLIVEIRA PAIVA, 1881"/>
    <s v="PARQUE MANIBURA"/>
    <n v="1"/>
    <m/>
    <n v="1"/>
    <m/>
    <n v="1"/>
    <m/>
    <n v="3"/>
    <x v="3"/>
  </r>
  <r>
    <n v="12028"/>
    <x v="8"/>
    <x v="69"/>
    <x v="69"/>
    <s v="AVENIDA ROGACIANO LEITE, 2080"/>
    <s v="SALINAS"/>
    <m/>
    <m/>
    <m/>
    <m/>
    <m/>
    <n v="1"/>
    <n v="1"/>
    <x v="2"/>
  </r>
  <r>
    <n v="12028"/>
    <x v="8"/>
    <x v="70"/>
    <x v="70"/>
    <s v="AVENIDA EDILSON BRASIL SOARES, 1167"/>
    <s v="SAPIRANGA"/>
    <m/>
    <n v="1"/>
    <m/>
    <n v="1"/>
    <m/>
    <m/>
    <n v="2"/>
    <x v="4"/>
  </r>
  <r>
    <n v="12028"/>
    <x v="8"/>
    <x v="71"/>
    <x v="71"/>
    <s v="Avenida Oliveira Paiva, 1350"/>
    <s v="CIDADE DOS FUNCIONARIOS"/>
    <n v="1"/>
    <m/>
    <n v="1"/>
    <m/>
    <n v="1"/>
    <m/>
    <n v="3"/>
    <x v="10"/>
  </r>
  <r>
    <n v="12028"/>
    <x v="8"/>
    <x v="72"/>
    <x v="72"/>
    <s v="AVENIDA ENG AGRON JOSE GUIMARAES DUQUE, SN"/>
    <s v="PARQUE IRACEMA"/>
    <n v="1"/>
    <m/>
    <n v="1"/>
    <m/>
    <n v="1"/>
    <m/>
    <n v="3"/>
    <x v="4"/>
  </r>
  <r>
    <n v="12027"/>
    <x v="9"/>
    <x v="73"/>
    <x v="73"/>
    <s v="III ETAPA TERRENO A QUADRA, 37"/>
    <s v="PORTO DAS DUNAS"/>
    <m/>
    <n v="1"/>
    <m/>
    <n v="1"/>
    <m/>
    <m/>
    <n v="2"/>
    <x v="2"/>
  </r>
  <r>
    <n v="12027"/>
    <x v="9"/>
    <x v="74"/>
    <x v="74"/>
    <s v="AVENIDA EUSEBIO DE QUEIROZ, 2880"/>
    <s v="COITE"/>
    <n v="1"/>
    <m/>
    <n v="1"/>
    <m/>
    <n v="1"/>
    <m/>
    <n v="3"/>
    <x v="1"/>
  </r>
  <r>
    <n v="12027"/>
    <x v="9"/>
    <x v="75"/>
    <x v="75"/>
    <s v="AVENIDA JORNALISTA TOMAZ COELHO, 1661"/>
    <s v="BARROSO"/>
    <n v="1"/>
    <m/>
    <n v="1"/>
    <m/>
    <n v="1"/>
    <n v="1"/>
    <n v="4"/>
    <x v="7"/>
  </r>
  <r>
    <n v="12027"/>
    <x v="9"/>
    <x v="76"/>
    <x v="76"/>
    <s v="EUSEBIO DE QUEIROZ, 1890"/>
    <s v="TAMATANDUBA"/>
    <n v="1"/>
    <m/>
    <n v="1"/>
    <m/>
    <n v="1"/>
    <m/>
    <n v="3"/>
    <x v="0"/>
  </r>
  <r>
    <n v="12027"/>
    <x v="9"/>
    <x v="77"/>
    <x v="77"/>
    <s v="RUA VALPARAISO, 825"/>
    <s v="Jangurussu"/>
    <m/>
    <n v="1"/>
    <m/>
    <n v="1"/>
    <m/>
    <m/>
    <n v="2"/>
    <x v="7"/>
  </r>
  <r>
    <n v="12027"/>
    <x v="9"/>
    <x v="78"/>
    <x v="78"/>
    <s v="I (CONJUNTO PARQUE DOM PEDRO), 0237"/>
    <s v="PARQUE DOM PEDRO"/>
    <m/>
    <n v="1"/>
    <m/>
    <n v="1"/>
    <m/>
    <m/>
    <n v="2"/>
    <x v="7"/>
  </r>
  <r>
    <n v="12027"/>
    <x v="9"/>
    <x v="79"/>
    <x v="79"/>
    <s v="Rua Jose Moreira, 670"/>
    <s v="PARQUE SANTA MARIA"/>
    <n v="1"/>
    <m/>
    <n v="1"/>
    <m/>
    <n v="1"/>
    <n v="1"/>
    <n v="4"/>
    <x v="7"/>
  </r>
  <r>
    <n v="12027"/>
    <x v="9"/>
    <x v="80"/>
    <x v="80"/>
    <s v="Rua Jorge Figueiredo, 1500"/>
    <s v="Pedras"/>
    <m/>
    <n v="1"/>
    <m/>
    <n v="1"/>
    <m/>
    <m/>
    <n v="2"/>
    <x v="7"/>
  </r>
  <r>
    <n v="12079"/>
    <x v="10"/>
    <x v="81"/>
    <x v="81"/>
    <s v="AVENIDA SANTOS DUMONT, 3860"/>
    <s v="ALDEOTA"/>
    <n v="1"/>
    <m/>
    <m/>
    <m/>
    <n v="1"/>
    <m/>
    <n v="2"/>
    <x v="2"/>
  </r>
  <r>
    <n v="12079"/>
    <x v="10"/>
    <x v="82"/>
    <x v="82"/>
    <s v="AVENIDA CENTRAL OESTE, 1001"/>
    <s v="CIDADE 2000"/>
    <n v="1"/>
    <m/>
    <n v="1"/>
    <m/>
    <m/>
    <m/>
    <n v="2"/>
    <x v="2"/>
  </r>
  <r>
    <n v="12079"/>
    <x v="10"/>
    <x v="83"/>
    <x v="83"/>
    <s v="Av. Antonio Sales, 3700"/>
    <s v="COCO"/>
    <n v="1"/>
    <m/>
    <n v="1"/>
    <m/>
    <n v="1"/>
    <m/>
    <n v="3"/>
    <x v="0"/>
  </r>
  <r>
    <n v="12079"/>
    <x v="10"/>
    <x v="84"/>
    <x v="84"/>
    <s v="RUA DR GILBERTO STUDART, 155"/>
    <s v="COCO"/>
    <n v="1"/>
    <m/>
    <n v="1"/>
    <m/>
    <n v="1"/>
    <m/>
    <n v="3"/>
    <x v="4"/>
  </r>
  <r>
    <n v="12079"/>
    <x v="10"/>
    <x v="85"/>
    <x v="85"/>
    <s v="AVENIDA ENG SANTANA JUNIOR, 2277"/>
    <s v="COCO"/>
    <m/>
    <n v="1"/>
    <m/>
    <m/>
    <m/>
    <m/>
    <n v="1"/>
    <x v="12"/>
  </r>
  <r>
    <n v="12079"/>
    <x v="10"/>
    <x v="86"/>
    <x v="86"/>
    <s v="AVENIDA SANTOS DUMONT, 6500"/>
    <s v="COCO"/>
    <n v="1"/>
    <m/>
    <n v="1"/>
    <m/>
    <n v="1"/>
    <m/>
    <n v="3"/>
    <x v="7"/>
  </r>
  <r>
    <n v="12079"/>
    <x v="10"/>
    <x v="87"/>
    <x v="87"/>
    <s v="AVENIDA WASHINGTON SOARES, 85"/>
    <s v="EDSON QUEIROZ"/>
    <m/>
    <m/>
    <n v="1"/>
    <m/>
    <m/>
    <m/>
    <n v="1"/>
    <x v="14"/>
  </r>
  <r>
    <n v="12079"/>
    <x v="10"/>
    <x v="88"/>
    <x v="88"/>
    <s v="RUA VIRGILIO BASTOS DOS SANTOS, 66"/>
    <s v="LUCIANO CAVALCANTE"/>
    <m/>
    <n v="1"/>
    <m/>
    <n v="1"/>
    <m/>
    <m/>
    <n v="2"/>
    <x v="2"/>
  </r>
  <r>
    <n v="12079"/>
    <x v="10"/>
    <x v="89"/>
    <x v="89"/>
    <s v="AVENIDA WASHINGTON SOARES, 1500"/>
    <s v="LUCIANO CAVALCANTE"/>
    <m/>
    <m/>
    <m/>
    <n v="1"/>
    <m/>
    <m/>
    <n v="1"/>
    <x v="12"/>
  </r>
  <r>
    <n v="12079"/>
    <x v="10"/>
    <x v="90"/>
    <x v="90"/>
    <s v="AVENIDA ENG SANTANA JUNIOR, 699"/>
    <s v="PAPICU"/>
    <m/>
    <n v="1"/>
    <m/>
    <n v="1"/>
    <m/>
    <n v="1"/>
    <n v="3"/>
    <x v="7"/>
  </r>
  <r>
    <n v="12079"/>
    <x v="10"/>
    <x v="91"/>
    <x v="91"/>
    <s v="Av. Santos Dumont, 5916"/>
    <s v="Papicu"/>
    <m/>
    <n v="1"/>
    <m/>
    <n v="1"/>
    <m/>
    <n v="1"/>
    <n v="3"/>
    <x v="0"/>
  </r>
  <r>
    <n v="12079"/>
    <x v="10"/>
    <x v="92"/>
    <x v="92"/>
    <s v="WASHINGTON SOARES, 4040"/>
    <s v="PARQUE MANIBURA"/>
    <m/>
    <n v="1"/>
    <m/>
    <n v="1"/>
    <m/>
    <m/>
    <n v="2"/>
    <x v="7"/>
  </r>
  <r>
    <n v="12076"/>
    <x v="11"/>
    <x v="93"/>
    <x v="93"/>
    <s v="AVENIDA ANTONIO SALES, 1800"/>
    <s v="DIONISIO TORRES"/>
    <m/>
    <n v="1"/>
    <m/>
    <n v="1"/>
    <m/>
    <m/>
    <n v="2"/>
    <x v="8"/>
  </r>
  <r>
    <n v="12076"/>
    <x v="11"/>
    <x v="94"/>
    <x v="94"/>
    <s v="AVENIDA DEPUTADO OSWALDO STUDART, 600"/>
    <s v="FATIMA"/>
    <m/>
    <m/>
    <m/>
    <n v="1"/>
    <m/>
    <m/>
    <n v="1"/>
    <x v="16"/>
  </r>
  <r>
    <n v="12076"/>
    <x v="11"/>
    <x v="95"/>
    <x v="95"/>
    <s v="AVENIDA DEP OSWALDO STUDART, 200"/>
    <s v="FATIMA"/>
    <n v="1"/>
    <m/>
    <n v="1"/>
    <m/>
    <n v="1"/>
    <m/>
    <n v="3"/>
    <x v="6"/>
  </r>
  <r>
    <n v="12076"/>
    <x v="11"/>
    <x v="96"/>
    <x v="96"/>
    <s v="RUA DR COSTA ARAUJO, 1132"/>
    <s v="FATIMA"/>
    <m/>
    <n v="1"/>
    <m/>
    <m/>
    <n v="1"/>
    <m/>
    <n v="2"/>
    <x v="9"/>
  </r>
  <r>
    <n v="12076"/>
    <x v="11"/>
    <x v="97"/>
    <x v="97"/>
    <s v="AVENIDA AGUANAMBI, 1393"/>
    <s v="FATIMA"/>
    <n v="1"/>
    <m/>
    <n v="1"/>
    <m/>
    <m/>
    <m/>
    <n v="2"/>
    <x v="9"/>
  </r>
  <r>
    <n v="12076"/>
    <x v="11"/>
    <x v="98"/>
    <x v="98"/>
    <s v="AVENIDA TREZE DE MAIO, 1060"/>
    <s v="FATIMA"/>
    <m/>
    <n v="1"/>
    <m/>
    <n v="1"/>
    <m/>
    <m/>
    <n v="2"/>
    <x v="1"/>
  </r>
  <r>
    <n v="12076"/>
    <x v="11"/>
    <x v="99"/>
    <x v="99"/>
    <s v="Av. Rui Barbosa, 2727"/>
    <s v="Joaquim Tavora"/>
    <n v="1"/>
    <m/>
    <n v="1"/>
    <m/>
    <n v="1"/>
    <n v="1"/>
    <n v="4"/>
    <x v="0"/>
  </r>
  <r>
    <n v="12076"/>
    <x v="11"/>
    <x v="100"/>
    <x v="100"/>
    <s v="RUA ILDEFONSO ALBANO, 2260"/>
    <s v="JOAQUIM TAVORA"/>
    <n v="1"/>
    <m/>
    <n v="1"/>
    <m/>
    <n v="1"/>
    <n v="1"/>
    <n v="4"/>
    <x v="3"/>
  </r>
  <r>
    <n v="12076"/>
    <x v="11"/>
    <x v="101"/>
    <x v="101"/>
    <s v="Rua Barao do Rio Branco, 2841"/>
    <s v="JOSE BONIFACIO"/>
    <m/>
    <n v="1"/>
    <m/>
    <n v="1"/>
    <m/>
    <m/>
    <n v="2"/>
    <x v="10"/>
  </r>
  <r>
    <n v="12080"/>
    <x v="12"/>
    <x v="102"/>
    <x v="102"/>
    <s v="RUA WALDIR DIOGO, 1138"/>
    <s v="NOVO MONDUBIM"/>
    <n v="1"/>
    <m/>
    <n v="1"/>
    <m/>
    <n v="1"/>
    <m/>
    <n v="3"/>
    <x v="3"/>
  </r>
  <r>
    <n v="12081"/>
    <x v="12"/>
    <x v="103"/>
    <x v="103"/>
    <s v="RUA CONEGO DE CASTRO, 3918"/>
    <s v="PARQUE SAO JOSE"/>
    <n v="1"/>
    <m/>
    <n v="1"/>
    <m/>
    <n v="1"/>
    <m/>
    <n v="3"/>
    <x v="7"/>
  </r>
  <r>
    <n v="12082"/>
    <x v="12"/>
    <x v="104"/>
    <x v="104"/>
    <s v="AVENIDA OSORIO DE PAIVA, 6554"/>
    <s v="SIQUEIRA"/>
    <m/>
    <n v="1"/>
    <m/>
    <n v="1"/>
    <m/>
    <m/>
    <n v="2"/>
    <x v="1"/>
  </r>
  <r>
    <n v="12083"/>
    <x v="12"/>
    <x v="105"/>
    <x v="105"/>
    <s v="RUA CHICO ANISIO, 200"/>
    <s v="CENTRO"/>
    <m/>
    <n v="1"/>
    <m/>
    <n v="1"/>
    <m/>
    <m/>
    <n v="2"/>
    <x v="2"/>
  </r>
  <r>
    <n v="12084"/>
    <x v="12"/>
    <x v="106"/>
    <x v="106"/>
    <s v="Av. Cmte. Aviador Childerico Mota, 1606"/>
    <s v="TANGUEIRA"/>
    <n v="1"/>
    <n v="1"/>
    <n v="1"/>
    <n v="1"/>
    <n v="1"/>
    <n v="1"/>
    <n v="6"/>
    <x v="3"/>
  </r>
  <r>
    <n v="12108"/>
    <x v="13"/>
    <x v="107"/>
    <x v="107"/>
    <s v="AVENIDA JOSE BASTOS, 4400"/>
    <s v="BELA VISTA"/>
    <m/>
    <n v="1"/>
    <m/>
    <n v="1"/>
    <m/>
    <m/>
    <n v="2"/>
    <x v="7"/>
  </r>
  <r>
    <n v="12108"/>
    <x v="13"/>
    <x v="108"/>
    <x v="108"/>
    <s v="RUA PIAUI, 1110"/>
    <s v="DEMOCRITO ROCHA"/>
    <m/>
    <m/>
    <n v="1"/>
    <m/>
    <m/>
    <m/>
    <n v="1"/>
    <x v="2"/>
  </r>
  <r>
    <n v="12108"/>
    <x v="13"/>
    <x v="109"/>
    <x v="109"/>
    <s v="PADRE ANCHIETA, 581"/>
    <s v="MONTE CASTELO"/>
    <m/>
    <n v="1"/>
    <m/>
    <n v="1"/>
    <m/>
    <n v="1"/>
    <n v="3"/>
    <x v="0"/>
  </r>
  <r>
    <n v="12108"/>
    <x v="13"/>
    <x v="110"/>
    <x v="110"/>
    <s v="PADRE GUERRA, 852"/>
    <s v="PARQUE ARAXA"/>
    <m/>
    <n v="1"/>
    <m/>
    <n v="1"/>
    <m/>
    <n v="1"/>
    <n v="3"/>
    <x v="0"/>
  </r>
  <r>
    <n v="12108"/>
    <x v="13"/>
    <x v="111"/>
    <x v="111"/>
    <s v="AVENIDA JOVITA FEITOSA, 2580"/>
    <s v="PARQUELANDIA"/>
    <n v="1"/>
    <m/>
    <n v="1"/>
    <m/>
    <n v="1"/>
    <m/>
    <n v="3"/>
    <x v="3"/>
  </r>
  <r>
    <n v="12108"/>
    <x v="13"/>
    <x v="112"/>
    <x v="112"/>
    <s v="RUA PROF LINO ENCARNACAO, 869"/>
    <s v="PARQUELANDIA"/>
    <m/>
    <n v="1"/>
    <m/>
    <n v="1"/>
    <n v="1"/>
    <m/>
    <n v="3"/>
    <x v="7"/>
  </r>
  <r>
    <n v="12108"/>
    <x v="13"/>
    <x v="113"/>
    <x v="113"/>
    <s v="RUA PROFESSOR COSTA MENDES, 2065"/>
    <s v="RODOLFO TEOFILO"/>
    <n v="1"/>
    <m/>
    <n v="1"/>
    <m/>
    <m/>
    <m/>
    <n v="2"/>
    <x v="2"/>
  </r>
  <r>
    <n v="12108"/>
    <x v="13"/>
    <x v="114"/>
    <x v="114"/>
    <s v="AVENIDA BEZERRA DE MENEZES, 2450"/>
    <s v="SAO GERARDO"/>
    <m/>
    <m/>
    <m/>
    <m/>
    <n v="1"/>
    <m/>
    <n v="1"/>
    <x v="2"/>
  </r>
  <r>
    <n v="12108"/>
    <x v="13"/>
    <x v="115"/>
    <x v="115"/>
    <s v="AVENIDA BEZERRA DE MENEZES, 1498"/>
    <s v="SAO GERARDO"/>
    <m/>
    <m/>
    <m/>
    <n v="1"/>
    <m/>
    <m/>
    <n v="1"/>
    <x v="12"/>
  </r>
  <r>
    <n v="12108"/>
    <x v="13"/>
    <x v="116"/>
    <x v="116"/>
    <s v="RUA DOS FRANCESES, SN"/>
    <s v="PRESIDENTE KENNEDY"/>
    <n v="1"/>
    <m/>
    <n v="1"/>
    <m/>
    <n v="1"/>
    <m/>
    <n v="3"/>
    <x v="17"/>
  </r>
  <r>
    <n v="12087"/>
    <x v="14"/>
    <x v="117"/>
    <x v="117"/>
    <s v="RUA MANOEL CASTELO BRANCO, 352"/>
    <s v="MESSEJANA"/>
    <n v="1"/>
    <m/>
    <n v="1"/>
    <m/>
    <n v="1"/>
    <n v="1"/>
    <n v="4"/>
    <x v="0"/>
  </r>
  <r>
    <n v="12087"/>
    <x v="14"/>
    <x v="118"/>
    <x v="118"/>
    <s v="AVENIDA FREI CIRILO, 4027"/>
    <s v="MESSEJANA"/>
    <n v="1"/>
    <m/>
    <n v="1"/>
    <m/>
    <n v="1"/>
    <m/>
    <n v="3"/>
    <x v="3"/>
  </r>
  <r>
    <n v="12087"/>
    <x v="14"/>
    <x v="119"/>
    <x v="119"/>
    <s v="AVENIDA WASHINGTON SOARES, 10008"/>
    <s v="MESSEJANA"/>
    <m/>
    <m/>
    <m/>
    <m/>
    <n v="1"/>
    <m/>
    <n v="1"/>
    <x v="2"/>
  </r>
  <r>
    <n v="12087"/>
    <x v="14"/>
    <x v="120"/>
    <x v="120"/>
    <s v="AVENIDA FREI CIRILO, 4290"/>
    <s v="MESSEJANA"/>
    <n v="1"/>
    <m/>
    <m/>
    <m/>
    <m/>
    <m/>
    <n v="1"/>
    <x v="2"/>
  </r>
  <r>
    <n v="12087"/>
    <x v="14"/>
    <x v="121"/>
    <x v="121"/>
    <s v="RUA CORONEL GUILHERME ALENCAR, 259"/>
    <s v="MESSEJANA"/>
    <m/>
    <m/>
    <n v="1"/>
    <m/>
    <m/>
    <n v="1"/>
    <n v="2"/>
    <x v="2"/>
  </r>
  <r>
    <n v="12087"/>
    <x v="14"/>
    <x v="122"/>
    <x v="122"/>
    <s v="RUA JOAQUIM FELICIO, 809"/>
    <s v="MESSEJANA"/>
    <m/>
    <n v="1"/>
    <m/>
    <n v="1"/>
    <m/>
    <m/>
    <n v="2"/>
    <x v="3"/>
  </r>
  <r>
    <n v="12087"/>
    <x v="14"/>
    <x v="123"/>
    <x v="123"/>
    <s v="AVENIDA FREI CIRILO, 4000"/>
    <s v="MESSEJANA"/>
    <n v="1"/>
    <m/>
    <n v="1"/>
    <m/>
    <n v="1"/>
    <m/>
    <n v="3"/>
    <x v="7"/>
  </r>
  <r>
    <n v="12087"/>
    <x v="14"/>
    <x v="124"/>
    <x v="124"/>
    <s v="Avenida PROFESSOR JOSE ARTHUR DE CARVALHO, 520"/>
    <s v="Lagoa Redonda"/>
    <m/>
    <n v="1"/>
    <m/>
    <n v="1"/>
    <m/>
    <m/>
    <n v="2"/>
    <x v="7"/>
  </r>
  <r>
    <n v="12087"/>
    <x v="14"/>
    <x v="125"/>
    <x v="125"/>
    <s v="PROFESSOR JOSE ARTHUR DE CARVALHO, 1512"/>
    <s v="Lagoa Redonda"/>
    <m/>
    <n v="1"/>
    <m/>
    <n v="1"/>
    <m/>
    <m/>
    <n v="2"/>
    <x v="7"/>
  </r>
  <r>
    <n v="12087"/>
    <x v="14"/>
    <x v="126"/>
    <x v="126"/>
    <s v="RUA WASHINGTON SOARES, 7263"/>
    <s v="MESSEJANA"/>
    <m/>
    <n v="1"/>
    <m/>
    <n v="1"/>
    <m/>
    <m/>
    <n v="2"/>
    <x v="18"/>
  </r>
  <r>
    <n v="12155"/>
    <x v="15"/>
    <x v="127"/>
    <x v="127"/>
    <s v="RUA CEL MATOS DOURADO, 1280"/>
    <s v="DOM LUSTOSA"/>
    <n v="1"/>
    <m/>
    <n v="1"/>
    <m/>
    <n v="1"/>
    <m/>
    <n v="3"/>
    <x v="1"/>
  </r>
  <r>
    <n v="12155"/>
    <x v="15"/>
    <x v="128"/>
    <x v="128"/>
    <s v="R. Prof. Edgard de Arruda, 1050"/>
    <s v="HENRIQUE JORGE"/>
    <m/>
    <n v="1"/>
    <m/>
    <n v="1"/>
    <m/>
    <m/>
    <n v="2"/>
    <x v="5"/>
  </r>
  <r>
    <n v="12155"/>
    <x v="15"/>
    <x v="129"/>
    <x v="129"/>
    <s v="AVENIDA SEN FERNANDES TAVORA, 1526"/>
    <s v="HENRIQUE JORGE"/>
    <n v="1"/>
    <m/>
    <n v="1"/>
    <m/>
    <n v="1"/>
    <m/>
    <n v="3"/>
    <x v="1"/>
  </r>
  <r>
    <n v="12155"/>
    <x v="15"/>
    <x v="130"/>
    <x v="130"/>
    <s v="RUA JOSE MENDONCA, 690"/>
    <s v="PARQUE GENIBAU"/>
    <m/>
    <n v="1"/>
    <m/>
    <n v="1"/>
    <m/>
    <m/>
    <n v="2"/>
    <x v="7"/>
  </r>
  <r>
    <n v="12155"/>
    <x v="15"/>
    <x v="131"/>
    <x v="131"/>
    <s v="RUA SENADOR FERNANDES TAVORA, 2100"/>
    <s v="DOM LUSTOSA"/>
    <n v="1"/>
    <n v="1"/>
    <n v="1"/>
    <n v="1"/>
    <n v="1"/>
    <n v="1"/>
    <n v="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9402A-8A71-4420-95C9-3464F8567244}" name="Tabela dinâmica1" cacheId="1" applyNumberFormats="0" applyBorderFormats="0" applyFontFormats="0" applyPatternFormats="0" applyAlignmentFormats="0" applyWidthHeightFormats="1" dataCaption="Valores" updatedVersion="8" minRefreshableVersion="3" useAutoFormatting="1" subtotalHiddenItems="1" rowGrandTotals="0" colGrandTotals="0" itemPrintTitles="1" createdVersion="8" indent="0" outline="1" outlineData="1" multipleFieldFilters="0">
  <location ref="A3:A19" firstHeaderRow="1" firstDataRow="1" firstDataCol="1"/>
  <pivotFields count="1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pivotHierarchies count="19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 CÓD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tivmob atual maio!$A$1:$O$230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45C95-8E4E-40AD-81AB-1B8E28A41E2F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B102" firstHeaderRow="1" firstDataRow="1" firstDataCol="1"/>
  <pivotFields count="14">
    <pivotField showAll="0" defaultSubtotal="0"/>
    <pivotField axis="axisRow" showAll="0" defaultSubtotal="0">
      <items count="16">
        <item x="5"/>
        <item x="10"/>
        <item x="1"/>
        <item x="4"/>
        <item x="12"/>
        <item x="6"/>
        <item x="14"/>
        <item x="8"/>
        <item x="7"/>
        <item x="11"/>
        <item x="9"/>
        <item x="3"/>
        <item x="2"/>
        <item x="15"/>
        <item x="0"/>
        <item x="13"/>
      </items>
    </pivotField>
    <pivotField showAll="0" defaultSubtotal="0">
      <items count="132">
        <item x="103"/>
        <item x="82"/>
        <item x="112"/>
        <item x="36"/>
        <item x="2"/>
        <item x="107"/>
        <item x="108"/>
        <item x="114"/>
        <item x="123"/>
        <item x="121"/>
        <item x="5"/>
        <item x="86"/>
        <item x="26"/>
        <item x="51"/>
        <item x="88"/>
        <item x="119"/>
        <item x="120"/>
        <item x="6"/>
        <item x="33"/>
        <item x="127"/>
        <item x="40"/>
        <item x="1"/>
        <item x="93"/>
        <item x="130"/>
        <item x="45"/>
        <item x="47"/>
        <item x="113"/>
        <item x="100"/>
        <item x="37"/>
        <item x="122"/>
        <item x="50"/>
        <item x="52"/>
        <item x="84"/>
        <item x="129"/>
        <item x="34"/>
        <item x="102"/>
        <item x="118"/>
        <item x="28"/>
        <item x="64"/>
        <item x="12"/>
        <item x="46"/>
        <item x="68"/>
        <item x="24"/>
        <item x="65"/>
        <item x="98"/>
        <item x="104"/>
        <item x="42"/>
        <item x="75"/>
        <item x="97"/>
        <item x="87"/>
        <item x="56"/>
        <item x="94"/>
        <item x="55"/>
        <item x="18"/>
        <item x="20"/>
        <item x="21"/>
        <item x="96"/>
        <item x="54"/>
        <item x="49"/>
        <item x="35"/>
        <item x="115"/>
        <item x="85"/>
        <item x="89"/>
        <item x="30"/>
        <item x="69"/>
        <item x="17"/>
        <item x="81"/>
        <item x="32"/>
        <item x="90"/>
        <item x="111"/>
        <item x="22"/>
        <item x="53"/>
        <item x="15"/>
        <item x="95"/>
        <item x="9"/>
        <item x="3"/>
        <item x="70"/>
        <item x="74"/>
        <item x="39"/>
        <item x="60"/>
        <item x="48"/>
        <item x="7"/>
        <item x="116"/>
        <item x="29"/>
        <item x="73"/>
        <item x="131"/>
        <item x="106"/>
        <item x="57"/>
        <item x="126"/>
        <item x="25"/>
        <item x="72"/>
        <item x="61"/>
        <item x="62"/>
        <item x="13"/>
        <item x="101"/>
        <item x="8"/>
        <item x="38"/>
        <item x="125"/>
        <item x="71"/>
        <item x="80"/>
        <item x="78"/>
        <item x="77"/>
        <item x="124"/>
        <item x="79"/>
        <item x="23"/>
        <item x="31"/>
        <item x="43"/>
        <item x="27"/>
        <item x="14"/>
        <item x="109"/>
        <item x="83"/>
        <item x="91"/>
        <item x="76"/>
        <item x="99"/>
        <item x="19"/>
        <item x="0"/>
        <item x="67"/>
        <item x="117"/>
        <item x="110"/>
        <item x="4"/>
        <item x="16"/>
        <item x="92"/>
        <item x="128"/>
        <item x="11"/>
        <item x="59"/>
        <item x="44"/>
        <item x="10"/>
        <item x="41"/>
        <item x="58"/>
        <item x="66"/>
        <item x="105"/>
        <item x="63"/>
      </items>
    </pivotField>
    <pivotField axis="axisRow" showAll="0" defaultSubtotal="0">
      <items count="132">
        <item x="60"/>
        <item x="32"/>
        <item x="42"/>
        <item x="30"/>
        <item x="33"/>
        <item x="84"/>
        <item x="125"/>
        <item x="35"/>
        <item x="1"/>
        <item x="124"/>
        <item x="123"/>
        <item x="75"/>
        <item x="107"/>
        <item x="78"/>
        <item x="79"/>
        <item x="112"/>
        <item x="80"/>
        <item x="130"/>
        <item x="72"/>
        <item x="103"/>
        <item x="86"/>
        <item x="77"/>
        <item x="61"/>
        <item x="93"/>
        <item x="101"/>
        <item x="15"/>
        <item x="34"/>
        <item x="57"/>
        <item x="70"/>
        <item x="90"/>
        <item x="74"/>
        <item x="95"/>
        <item x="118"/>
        <item x="129"/>
        <item x="100"/>
        <item x="52"/>
        <item x="53"/>
        <item x="45"/>
        <item x="7"/>
        <item x="8"/>
        <item x="122"/>
        <item x="65"/>
        <item x="12"/>
        <item x="111"/>
        <item x="64"/>
        <item x="28"/>
        <item x="3"/>
        <item x="127"/>
        <item x="126"/>
        <item x="25"/>
        <item x="68"/>
        <item x="104"/>
        <item x="48"/>
        <item x="71"/>
        <item x="17"/>
        <item x="50"/>
        <item x="116"/>
        <item x="46"/>
        <item x="6"/>
        <item x="21"/>
        <item x="98"/>
        <item x="37"/>
        <item x="24"/>
        <item x="102"/>
        <item x="94"/>
        <item x="19"/>
        <item x="31"/>
        <item x="83"/>
        <item x="16"/>
        <item x="76"/>
        <item x="67"/>
        <item x="43"/>
        <item x="27"/>
        <item x="0"/>
        <item x="117"/>
        <item x="92"/>
        <item x="109"/>
        <item x="4"/>
        <item x="110"/>
        <item x="99"/>
        <item x="91"/>
        <item x="14"/>
        <item x="38"/>
        <item x="121"/>
        <item x="9"/>
        <item x="62"/>
        <item x="131"/>
        <item x="13"/>
        <item x="29"/>
        <item x="106"/>
        <item x="39"/>
        <item x="97"/>
        <item x="115"/>
        <item x="20"/>
        <item x="85"/>
        <item x="96"/>
        <item x="87"/>
        <item x="18"/>
        <item x="89"/>
        <item x="55"/>
        <item x="54"/>
        <item x="49"/>
        <item x="22"/>
        <item x="63"/>
        <item x="105"/>
        <item x="2"/>
        <item x="120"/>
        <item x="26"/>
        <item x="108"/>
        <item x="73"/>
        <item x="56"/>
        <item x="69"/>
        <item x="119"/>
        <item x="41"/>
        <item x="59"/>
        <item x="66"/>
        <item x="128"/>
        <item x="58"/>
        <item x="23"/>
        <item x="10"/>
        <item x="44"/>
        <item x="11"/>
        <item x="40"/>
        <item x="51"/>
        <item x="82"/>
        <item x="88"/>
        <item x="36"/>
        <item x="114"/>
        <item x="5"/>
        <item x="47"/>
        <item x="113"/>
        <item x="8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>
      <items count="19">
        <item h="1" x="16"/>
        <item h="1" x="2"/>
        <item h="1" x="9"/>
        <item h="1" x="12"/>
        <item h="1" x="14"/>
        <item h="1" x="15"/>
        <item h="1" x="11"/>
        <item h="1" x="5"/>
        <item h="1" x="8"/>
        <item h="1" x="18"/>
        <item x="17"/>
        <item x="13"/>
        <item x="6"/>
        <item x="4"/>
        <item x="7"/>
        <item x="1"/>
        <item x="3"/>
        <item x="10"/>
        <item x="0"/>
      </items>
    </pivotField>
  </pivotFields>
  <rowFields count="2">
    <field x="1"/>
    <field x="3"/>
  </rowFields>
  <rowItems count="99">
    <i>
      <x/>
    </i>
    <i r="1">
      <x v="2"/>
    </i>
    <i r="1">
      <x v="37"/>
    </i>
    <i r="1">
      <x v="52"/>
    </i>
    <i r="1">
      <x v="57"/>
    </i>
    <i r="1">
      <x v="71"/>
    </i>
    <i r="1">
      <x v="90"/>
    </i>
    <i>
      <x v="1"/>
    </i>
    <i r="1">
      <x v="5"/>
    </i>
    <i r="1">
      <x v="20"/>
    </i>
    <i r="1">
      <x v="29"/>
    </i>
    <i r="1">
      <x v="67"/>
    </i>
    <i r="1">
      <x v="75"/>
    </i>
    <i r="1">
      <x v="80"/>
    </i>
    <i>
      <x v="2"/>
    </i>
    <i r="1">
      <x v="42"/>
    </i>
    <i r="1">
      <x v="87"/>
    </i>
    <i>
      <x v="3"/>
    </i>
    <i r="1">
      <x v="1"/>
    </i>
    <i r="1">
      <x v="3"/>
    </i>
    <i r="1">
      <x v="4"/>
    </i>
    <i r="1">
      <x v="7"/>
    </i>
    <i r="1">
      <x v="26"/>
    </i>
    <i r="1">
      <x v="61"/>
    </i>
    <i r="1">
      <x v="66"/>
    </i>
    <i>
      <x v="4"/>
    </i>
    <i r="1">
      <x v="19"/>
    </i>
    <i r="1">
      <x v="51"/>
    </i>
    <i r="1">
      <x v="63"/>
    </i>
    <i r="1">
      <x v="89"/>
    </i>
    <i>
      <x v="5"/>
    </i>
    <i r="1">
      <x v="27"/>
    </i>
    <i r="1">
      <x v="35"/>
    </i>
    <i r="1">
      <x v="36"/>
    </i>
    <i r="1">
      <x v="55"/>
    </i>
    <i>
      <x v="6"/>
    </i>
    <i r="1">
      <x v="6"/>
    </i>
    <i r="1">
      <x v="9"/>
    </i>
    <i r="1">
      <x v="10"/>
    </i>
    <i r="1">
      <x v="32"/>
    </i>
    <i r="1">
      <x v="40"/>
    </i>
    <i r="1">
      <x v="74"/>
    </i>
    <i>
      <x v="7"/>
    </i>
    <i r="1">
      <x v="18"/>
    </i>
    <i r="1">
      <x v="28"/>
    </i>
    <i r="1">
      <x v="41"/>
    </i>
    <i r="1">
      <x v="44"/>
    </i>
    <i r="1">
      <x v="50"/>
    </i>
    <i r="1">
      <x v="53"/>
    </i>
    <i r="1">
      <x v="70"/>
    </i>
    <i>
      <x v="8"/>
    </i>
    <i r="1">
      <x v="22"/>
    </i>
    <i r="1">
      <x v="85"/>
    </i>
    <i>
      <x v="9"/>
    </i>
    <i r="1">
      <x v="24"/>
    </i>
    <i r="1">
      <x v="31"/>
    </i>
    <i r="1">
      <x v="34"/>
    </i>
    <i r="1">
      <x v="60"/>
    </i>
    <i r="1">
      <x v="79"/>
    </i>
    <i>
      <x v="10"/>
    </i>
    <i r="1">
      <x v="11"/>
    </i>
    <i r="1">
      <x v="13"/>
    </i>
    <i r="1">
      <x v="14"/>
    </i>
    <i r="1">
      <x v="16"/>
    </i>
    <i r="1">
      <x v="21"/>
    </i>
    <i r="1">
      <x v="30"/>
    </i>
    <i r="1">
      <x v="69"/>
    </i>
    <i>
      <x v="11"/>
    </i>
    <i r="1">
      <x v="45"/>
    </i>
    <i r="1">
      <x v="49"/>
    </i>
    <i r="1">
      <x v="72"/>
    </i>
    <i r="1">
      <x v="88"/>
    </i>
    <i>
      <x v="12"/>
    </i>
    <i r="1">
      <x v="25"/>
    </i>
    <i r="1">
      <x v="59"/>
    </i>
    <i r="1">
      <x v="62"/>
    </i>
    <i r="1">
      <x v="65"/>
    </i>
    <i r="1">
      <x v="68"/>
    </i>
    <i r="1">
      <x v="81"/>
    </i>
    <i>
      <x v="13"/>
    </i>
    <i r="1">
      <x v="17"/>
    </i>
    <i r="1">
      <x v="33"/>
    </i>
    <i r="1">
      <x v="47"/>
    </i>
    <i r="1">
      <x v="86"/>
    </i>
    <i>
      <x v="14"/>
    </i>
    <i r="1">
      <x v="8"/>
    </i>
    <i r="1">
      <x v="38"/>
    </i>
    <i r="1">
      <x v="39"/>
    </i>
    <i r="1">
      <x v="46"/>
    </i>
    <i r="1">
      <x v="58"/>
    </i>
    <i r="1">
      <x v="73"/>
    </i>
    <i r="1">
      <x v="77"/>
    </i>
    <i>
      <x v="15"/>
    </i>
    <i r="1">
      <x v="12"/>
    </i>
    <i r="1">
      <x v="15"/>
    </i>
    <i r="1">
      <x v="43"/>
    </i>
    <i r="1">
      <x v="56"/>
    </i>
    <i r="1">
      <x v="76"/>
    </i>
    <i r="1">
      <x v="78"/>
    </i>
  </rowItems>
  <colItems count="1">
    <i/>
  </colItems>
  <dataFields count="1">
    <dataField name=" Mix de produtos quantidad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motor" xr10:uid="{7CF7B452-A1C3-4C41-A078-8451A6293F77}" sourceName="[Intervalo].[Promotor]">
  <pivotTables>
    <pivotTable tabId="2" name="Tabela dinâmica1"/>
  </pivotTables>
  <data>
    <olap pivotCacheId="148226307">
      <levels count="2">
        <level uniqueName="[Intervalo].[Promotor].[(All)]" sourceCaption="(All)" count="0"/>
        <level uniqueName="[Intervalo].[Promotor].[Promotor]" sourceCaption="Promotor" count="16">
          <ranges>
            <range startItem="0">
              <i n="[Intervalo].[Promotor].&amp;[ana Paula marques]" c="ana Paula marques"/>
              <i n="[Intervalo].[Promotor].&amp;[Antonio José Vieira filho]" c="Antonio José Vieira filho"/>
              <i n="[Intervalo].[Promotor].&amp;[Bruno Alves]" c="Bruno Alves"/>
              <i n="[Intervalo].[Promotor].&amp;[caio silva]" c="caio silva"/>
              <i n="[Intervalo].[Promotor].&amp;[Christian William]" c="Christian William"/>
              <i n="[Intervalo].[Promotor].&amp;[davi lima]" c="davi lima"/>
              <i n="[Intervalo].[Promotor].&amp;[Franklin teran]" c="Franklin teran"/>
              <i n="[Intervalo].[Promotor].&amp;[Geissy Kelly  Gomes]" c="Geissy Kelly  Gomes"/>
              <i n="[Intervalo].[Promotor].&amp;[Henrique Ponce]" c="Henrique Ponce"/>
              <i n="[Intervalo].[Promotor].&amp;[herryson mesquita]" c="herryson mesquita"/>
              <i n="[Intervalo].[Promotor].&amp;[João makson Oliveira]" c="João makson Oliveira"/>
              <i n="[Intervalo].[Promotor].&amp;[Laryssa kelvin Martins]" c="Laryssa kelvin Martins"/>
              <i n="[Intervalo].[Promotor].&amp;[max Monteiro]" c="max Monteiro"/>
              <i n="[Intervalo].[Promotor].&amp;[Natalia Oliveira]" c="Natalia Oliveira"/>
              <i n="[Intervalo].[Promotor].&amp;[Paula Celia]" c="Paula Celia"/>
              <i n="[Intervalo].[Promotor].&amp;[thalys frota]" c="thalys frota"/>
            </range>
          </ranges>
        </level>
      </levels>
      <selections count="1">
        <selection n="[Intervalo].[Promotor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ix_de_produtos_quantidade" xr10:uid="{658317A5-09E6-4067-B192-5CA740651FBD}" sourceName="Mix de produtos quantidade">
  <pivotTables>
    <pivotTable tabId="7" name="Tabela dinâmica1"/>
  </pivotTables>
  <data>
    <tabular pivotCacheId="1197885111">
      <items count="19">
        <i x="16"/>
        <i x="2"/>
        <i x="9"/>
        <i x="12"/>
        <i x="14"/>
        <i x="15"/>
        <i x="11"/>
        <i x="5"/>
        <i x="8"/>
        <i x="18"/>
        <i x="17" s="1"/>
        <i x="13" s="1"/>
        <i x="6" s="1"/>
        <i x="4" s="1"/>
        <i x="7" s="1"/>
        <i x="1" s="1"/>
        <i x="3" s="1"/>
        <i x="10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motor" xr10:uid="{E9D7F9E5-12E0-4A78-BC75-D13FD5BCF967}" cache="SegmentaçãodeDados_Promotor" caption="Promotor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ix de produtos quantidade" xr10:uid="{2A65A1D9-AB1A-4375-92C7-62D49A894C46}" cache="SegmentaçãodeDados_Mix_de_produtos_quantidade" caption="Mix de produtos quantidade" startItem="11" rowHeight="2413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4F21-6F9E-48F9-A12B-8E33F2DC3035}">
  <dimension ref="A3:A19"/>
  <sheetViews>
    <sheetView workbookViewId="0">
      <selection activeCell="P16" sqref="P16"/>
    </sheetView>
  </sheetViews>
  <sheetFormatPr defaultRowHeight="15" x14ac:dyDescent="0.25"/>
  <cols>
    <col min="1" max="1" width="23.140625" bestFit="1" customWidth="1"/>
    <col min="2" max="2" width="8" bestFit="1" customWidth="1"/>
    <col min="3" max="3" width="7" bestFit="1" customWidth="1"/>
    <col min="4" max="5" width="9" bestFit="1" customWidth="1"/>
    <col min="6" max="7" width="8" bestFit="1" customWidth="1"/>
    <col min="8" max="8" width="10.7109375" bestFit="1" customWidth="1"/>
  </cols>
  <sheetData>
    <row r="3" spans="1:1" x14ac:dyDescent="0.25">
      <c r="A3" s="2" t="s">
        <v>253</v>
      </c>
    </row>
    <row r="4" spans="1:1" x14ac:dyDescent="0.25">
      <c r="A4" s="3" t="s">
        <v>115</v>
      </c>
    </row>
    <row r="5" spans="1:1" x14ac:dyDescent="0.25">
      <c r="A5" s="3" t="s">
        <v>186</v>
      </c>
    </row>
    <row r="6" spans="1:1" x14ac:dyDescent="0.25">
      <c r="A6" s="3" t="s">
        <v>24</v>
      </c>
    </row>
    <row r="7" spans="1:1" x14ac:dyDescent="0.25">
      <c r="A7" s="3" t="s">
        <v>95</v>
      </c>
    </row>
    <row r="8" spans="1:1" x14ac:dyDescent="0.25">
      <c r="A8" s="3" t="s">
        <v>216</v>
      </c>
    </row>
    <row r="9" spans="1:1" x14ac:dyDescent="0.25">
      <c r="A9" s="3" t="s">
        <v>130</v>
      </c>
    </row>
    <row r="10" spans="1:1" x14ac:dyDescent="0.25">
      <c r="A10" s="3" t="s">
        <v>233</v>
      </c>
    </row>
    <row r="11" spans="1:1" x14ac:dyDescent="0.25">
      <c r="A11" s="3" t="s">
        <v>152</v>
      </c>
    </row>
    <row r="12" spans="1:1" x14ac:dyDescent="0.25">
      <c r="A12" s="3" t="s">
        <v>142</v>
      </c>
    </row>
    <row r="13" spans="1:1" x14ac:dyDescent="0.25">
      <c r="A13" s="3" t="s">
        <v>205</v>
      </c>
    </row>
    <row r="14" spans="1:1" x14ac:dyDescent="0.25">
      <c r="A14" s="3" t="s">
        <v>169</v>
      </c>
    </row>
    <row r="15" spans="1:1" x14ac:dyDescent="0.25">
      <c r="A15" s="3" t="s">
        <v>87</v>
      </c>
    </row>
    <row r="16" spans="1:1" x14ac:dyDescent="0.25">
      <c r="A16" s="3" t="s">
        <v>36</v>
      </c>
    </row>
    <row r="17" spans="1:1" x14ac:dyDescent="0.25">
      <c r="A17" s="3" t="s">
        <v>244</v>
      </c>
    </row>
    <row r="18" spans="1:1" x14ac:dyDescent="0.25">
      <c r="A18" s="3" t="s">
        <v>22</v>
      </c>
    </row>
    <row r="19" spans="1:1" x14ac:dyDescent="0.25">
      <c r="A19" s="3" t="s">
        <v>217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C4CC-0E97-4C4D-881F-0EB7976A5272}">
  <dimension ref="A3:B102"/>
  <sheetViews>
    <sheetView workbookViewId="0">
      <selection activeCell="E27" sqref="E27"/>
    </sheetView>
  </sheetViews>
  <sheetFormatPr defaultRowHeight="15" x14ac:dyDescent="0.25"/>
  <cols>
    <col min="1" max="1" width="38" bestFit="1" customWidth="1"/>
    <col min="2" max="2" width="35" bestFit="1" customWidth="1"/>
  </cols>
  <sheetData>
    <row r="3" spans="1:2" x14ac:dyDescent="0.25">
      <c r="A3" s="2" t="s">
        <v>253</v>
      </c>
      <c r="B3" t="s">
        <v>389</v>
      </c>
    </row>
    <row r="4" spans="1:2" x14ac:dyDescent="0.25">
      <c r="A4" s="3" t="s">
        <v>115</v>
      </c>
    </row>
    <row r="5" spans="1:2" x14ac:dyDescent="0.25">
      <c r="A5" s="4" t="s">
        <v>296</v>
      </c>
      <c r="B5">
        <v>34</v>
      </c>
    </row>
    <row r="6" spans="1:2" x14ac:dyDescent="0.25">
      <c r="A6" s="4" t="s">
        <v>299</v>
      </c>
      <c r="B6">
        <v>35</v>
      </c>
    </row>
    <row r="7" spans="1:2" x14ac:dyDescent="0.25">
      <c r="A7" s="4" t="s">
        <v>302</v>
      </c>
      <c r="B7">
        <v>35</v>
      </c>
    </row>
    <row r="8" spans="1:2" x14ac:dyDescent="0.25">
      <c r="A8" s="4" t="s">
        <v>300</v>
      </c>
      <c r="B8">
        <v>36</v>
      </c>
    </row>
    <row r="9" spans="1:2" x14ac:dyDescent="0.25">
      <c r="A9" s="4" t="s">
        <v>297</v>
      </c>
      <c r="B9">
        <v>38</v>
      </c>
    </row>
    <row r="10" spans="1:2" x14ac:dyDescent="0.25">
      <c r="A10" s="4" t="s">
        <v>293</v>
      </c>
      <c r="B10">
        <v>31</v>
      </c>
    </row>
    <row r="11" spans="1:2" x14ac:dyDescent="0.25">
      <c r="A11" s="3" t="s">
        <v>186</v>
      </c>
    </row>
    <row r="12" spans="1:2" x14ac:dyDescent="0.25">
      <c r="A12" s="4" t="s">
        <v>338</v>
      </c>
      <c r="B12">
        <v>33</v>
      </c>
    </row>
    <row r="13" spans="1:2" x14ac:dyDescent="0.25">
      <c r="A13" s="4" t="s">
        <v>340</v>
      </c>
      <c r="B13">
        <v>34</v>
      </c>
    </row>
    <row r="14" spans="1:2" x14ac:dyDescent="0.25">
      <c r="A14" s="4" t="s">
        <v>344</v>
      </c>
      <c r="B14">
        <v>34</v>
      </c>
    </row>
    <row r="15" spans="1:2" x14ac:dyDescent="0.25">
      <c r="A15" s="4" t="s">
        <v>337</v>
      </c>
      <c r="B15">
        <v>38</v>
      </c>
    </row>
    <row r="16" spans="1:2" x14ac:dyDescent="0.25">
      <c r="A16" s="4" t="s">
        <v>346</v>
      </c>
      <c r="B16">
        <v>34</v>
      </c>
    </row>
    <row r="17" spans="1:2" x14ac:dyDescent="0.25">
      <c r="A17" s="4" t="s">
        <v>345</v>
      </c>
      <c r="B17">
        <v>38</v>
      </c>
    </row>
    <row r="18" spans="1:2" x14ac:dyDescent="0.25">
      <c r="A18" s="3" t="s">
        <v>24</v>
      </c>
    </row>
    <row r="19" spans="1:2" x14ac:dyDescent="0.25">
      <c r="A19" s="4" t="s">
        <v>266</v>
      </c>
      <c r="B19">
        <v>35</v>
      </c>
    </row>
    <row r="20" spans="1:2" x14ac:dyDescent="0.25">
      <c r="A20" s="4" t="s">
        <v>267</v>
      </c>
      <c r="B20">
        <v>36</v>
      </c>
    </row>
    <row r="21" spans="1:2" x14ac:dyDescent="0.25">
      <c r="A21" s="3" t="s">
        <v>95</v>
      </c>
    </row>
    <row r="22" spans="1:2" x14ac:dyDescent="0.25">
      <c r="A22" s="4" t="s">
        <v>286</v>
      </c>
      <c r="B22">
        <v>34</v>
      </c>
    </row>
    <row r="23" spans="1:2" x14ac:dyDescent="0.25">
      <c r="A23" s="4" t="s">
        <v>284</v>
      </c>
      <c r="B23">
        <v>33</v>
      </c>
    </row>
    <row r="24" spans="1:2" x14ac:dyDescent="0.25">
      <c r="A24" s="4" t="s">
        <v>287</v>
      </c>
      <c r="B24">
        <v>34</v>
      </c>
    </row>
    <row r="25" spans="1:2" x14ac:dyDescent="0.25">
      <c r="A25" s="4" t="s">
        <v>289</v>
      </c>
      <c r="B25">
        <v>34</v>
      </c>
    </row>
    <row r="26" spans="1:2" x14ac:dyDescent="0.25">
      <c r="A26" s="4" t="s">
        <v>288</v>
      </c>
      <c r="B26">
        <v>33</v>
      </c>
    </row>
    <row r="27" spans="1:2" x14ac:dyDescent="0.25">
      <c r="A27" s="4" t="s">
        <v>291</v>
      </c>
      <c r="B27">
        <v>36</v>
      </c>
    </row>
    <row r="28" spans="1:2" x14ac:dyDescent="0.25">
      <c r="A28" s="4" t="s">
        <v>285</v>
      </c>
      <c r="B28">
        <v>38</v>
      </c>
    </row>
    <row r="29" spans="1:2" x14ac:dyDescent="0.25">
      <c r="A29" s="3" t="s">
        <v>216</v>
      </c>
    </row>
    <row r="30" spans="1:2" x14ac:dyDescent="0.25">
      <c r="A30" s="4" t="s">
        <v>357</v>
      </c>
      <c r="B30">
        <v>34</v>
      </c>
    </row>
    <row r="31" spans="1:2" x14ac:dyDescent="0.25">
      <c r="A31" s="4" t="s">
        <v>358</v>
      </c>
      <c r="B31">
        <v>35</v>
      </c>
    </row>
    <row r="32" spans="1:2" x14ac:dyDescent="0.25">
      <c r="A32" s="4" t="s">
        <v>356</v>
      </c>
      <c r="B32">
        <v>36</v>
      </c>
    </row>
    <row r="33" spans="1:2" x14ac:dyDescent="0.25">
      <c r="A33" s="4" t="s">
        <v>360</v>
      </c>
      <c r="B33">
        <v>36</v>
      </c>
    </row>
    <row r="34" spans="1:2" x14ac:dyDescent="0.25">
      <c r="A34" s="3" t="s">
        <v>130</v>
      </c>
    </row>
    <row r="35" spans="1:2" x14ac:dyDescent="0.25">
      <c r="A35" s="4" t="s">
        <v>311</v>
      </c>
      <c r="B35">
        <v>33</v>
      </c>
    </row>
    <row r="36" spans="1:2" x14ac:dyDescent="0.25">
      <c r="A36" s="4" t="s">
        <v>306</v>
      </c>
      <c r="B36">
        <v>35</v>
      </c>
    </row>
    <row r="37" spans="1:2" x14ac:dyDescent="0.25">
      <c r="A37" s="4" t="s">
        <v>307</v>
      </c>
      <c r="B37">
        <v>36</v>
      </c>
    </row>
    <row r="38" spans="1:2" x14ac:dyDescent="0.25">
      <c r="A38" s="4" t="s">
        <v>304</v>
      </c>
      <c r="B38">
        <v>35</v>
      </c>
    </row>
    <row r="39" spans="1:2" x14ac:dyDescent="0.25">
      <c r="A39" s="3" t="s">
        <v>233</v>
      </c>
    </row>
    <row r="40" spans="1:2" x14ac:dyDescent="0.25">
      <c r="A40" s="4" t="s">
        <v>380</v>
      </c>
      <c r="B40">
        <v>34</v>
      </c>
    </row>
    <row r="41" spans="1:2" x14ac:dyDescent="0.25">
      <c r="A41" s="4" t="s">
        <v>379</v>
      </c>
      <c r="B41">
        <v>34</v>
      </c>
    </row>
    <row r="42" spans="1:2" x14ac:dyDescent="0.25">
      <c r="A42" s="4" t="s">
        <v>378</v>
      </c>
      <c r="B42">
        <v>34</v>
      </c>
    </row>
    <row r="43" spans="1:2" x14ac:dyDescent="0.25">
      <c r="A43" s="4" t="s">
        <v>373</v>
      </c>
      <c r="B43">
        <v>36</v>
      </c>
    </row>
    <row r="44" spans="1:2" x14ac:dyDescent="0.25">
      <c r="A44" s="4" t="s">
        <v>377</v>
      </c>
      <c r="B44">
        <v>36</v>
      </c>
    </row>
    <row r="45" spans="1:2" x14ac:dyDescent="0.25">
      <c r="A45" s="4" t="s">
        <v>365</v>
      </c>
      <c r="B45">
        <v>38</v>
      </c>
    </row>
    <row r="46" spans="1:2" x14ac:dyDescent="0.25">
      <c r="A46" s="3" t="s">
        <v>152</v>
      </c>
    </row>
    <row r="47" spans="1:2" x14ac:dyDescent="0.25">
      <c r="A47" s="4" t="s">
        <v>326</v>
      </c>
      <c r="B47">
        <v>33</v>
      </c>
    </row>
    <row r="48" spans="1:2" x14ac:dyDescent="0.25">
      <c r="A48" s="4" t="s">
        <v>324</v>
      </c>
      <c r="B48">
        <v>33</v>
      </c>
    </row>
    <row r="49" spans="1:2" x14ac:dyDescent="0.25">
      <c r="A49" s="4" t="s">
        <v>319</v>
      </c>
      <c r="B49">
        <v>35</v>
      </c>
    </row>
    <row r="50" spans="1:2" x14ac:dyDescent="0.25">
      <c r="A50" s="4" t="s">
        <v>318</v>
      </c>
      <c r="B50">
        <v>36</v>
      </c>
    </row>
    <row r="51" spans="1:2" x14ac:dyDescent="0.25">
      <c r="A51" s="4" t="s">
        <v>322</v>
      </c>
      <c r="B51">
        <v>36</v>
      </c>
    </row>
    <row r="52" spans="1:2" x14ac:dyDescent="0.25">
      <c r="A52" s="4" t="s">
        <v>325</v>
      </c>
      <c r="B52">
        <v>37</v>
      </c>
    </row>
    <row r="53" spans="1:2" x14ac:dyDescent="0.25">
      <c r="A53" s="4" t="s">
        <v>321</v>
      </c>
      <c r="B53">
        <v>38</v>
      </c>
    </row>
    <row r="54" spans="1:2" x14ac:dyDescent="0.25">
      <c r="A54" s="3" t="s">
        <v>142</v>
      </c>
    </row>
    <row r="55" spans="1:2" x14ac:dyDescent="0.25">
      <c r="A55" s="4" t="s">
        <v>315</v>
      </c>
      <c r="B55">
        <v>34</v>
      </c>
    </row>
    <row r="56" spans="1:2" x14ac:dyDescent="0.25">
      <c r="A56" s="4" t="s">
        <v>316</v>
      </c>
      <c r="B56">
        <v>36</v>
      </c>
    </row>
    <row r="57" spans="1:2" x14ac:dyDescent="0.25">
      <c r="A57" s="3" t="s">
        <v>205</v>
      </c>
    </row>
    <row r="58" spans="1:2" x14ac:dyDescent="0.25">
      <c r="A58" s="4" t="s">
        <v>355</v>
      </c>
      <c r="B58">
        <v>37</v>
      </c>
    </row>
    <row r="59" spans="1:2" x14ac:dyDescent="0.25">
      <c r="A59" s="4" t="s">
        <v>349</v>
      </c>
      <c r="B59">
        <v>32</v>
      </c>
    </row>
    <row r="60" spans="1:2" x14ac:dyDescent="0.25">
      <c r="A60" s="4" t="s">
        <v>354</v>
      </c>
      <c r="B60">
        <v>36</v>
      </c>
    </row>
    <row r="61" spans="1:2" x14ac:dyDescent="0.25">
      <c r="A61" s="4" t="s">
        <v>352</v>
      </c>
      <c r="B61">
        <v>35</v>
      </c>
    </row>
    <row r="62" spans="1:2" x14ac:dyDescent="0.25">
      <c r="A62" s="4" t="s">
        <v>353</v>
      </c>
      <c r="B62">
        <v>38</v>
      </c>
    </row>
    <row r="63" spans="1:2" x14ac:dyDescent="0.25">
      <c r="A63" s="3" t="s">
        <v>169</v>
      </c>
    </row>
    <row r="64" spans="1:2" x14ac:dyDescent="0.25">
      <c r="A64" s="4" t="s">
        <v>329</v>
      </c>
      <c r="B64">
        <v>34</v>
      </c>
    </row>
    <row r="65" spans="1:2" x14ac:dyDescent="0.25">
      <c r="A65" s="4" t="s">
        <v>332</v>
      </c>
      <c r="B65">
        <v>34</v>
      </c>
    </row>
    <row r="66" spans="1:2" x14ac:dyDescent="0.25">
      <c r="A66" s="4" t="s">
        <v>333</v>
      </c>
      <c r="B66">
        <v>34</v>
      </c>
    </row>
    <row r="67" spans="1:2" x14ac:dyDescent="0.25">
      <c r="A67" s="4" t="s">
        <v>334</v>
      </c>
      <c r="B67">
        <v>34</v>
      </c>
    </row>
    <row r="68" spans="1:2" x14ac:dyDescent="0.25">
      <c r="A68" s="4" t="s">
        <v>331</v>
      </c>
      <c r="B68">
        <v>34</v>
      </c>
    </row>
    <row r="69" spans="1:2" x14ac:dyDescent="0.25">
      <c r="A69" s="4" t="s">
        <v>328</v>
      </c>
      <c r="B69">
        <v>35</v>
      </c>
    </row>
    <row r="70" spans="1:2" x14ac:dyDescent="0.25">
      <c r="A70" s="4" t="s">
        <v>330</v>
      </c>
      <c r="B70">
        <v>38</v>
      </c>
    </row>
    <row r="71" spans="1:2" x14ac:dyDescent="0.25">
      <c r="A71" s="3" t="s">
        <v>87</v>
      </c>
    </row>
    <row r="72" spans="1:2" x14ac:dyDescent="0.25">
      <c r="A72" s="4" t="s">
        <v>282</v>
      </c>
      <c r="B72">
        <v>35</v>
      </c>
    </row>
    <row r="73" spans="1:2" x14ac:dyDescent="0.25">
      <c r="A73" s="4" t="s">
        <v>279</v>
      </c>
      <c r="B73">
        <v>33</v>
      </c>
    </row>
    <row r="74" spans="1:2" x14ac:dyDescent="0.25">
      <c r="A74" s="4" t="s">
        <v>281</v>
      </c>
      <c r="B74">
        <v>38</v>
      </c>
    </row>
    <row r="75" spans="1:2" x14ac:dyDescent="0.25">
      <c r="A75" s="4" t="s">
        <v>283</v>
      </c>
      <c r="B75">
        <v>36</v>
      </c>
    </row>
    <row r="76" spans="1:2" x14ac:dyDescent="0.25">
      <c r="A76" s="3" t="s">
        <v>36</v>
      </c>
    </row>
    <row r="77" spans="1:2" x14ac:dyDescent="0.25">
      <c r="A77" s="4" t="s">
        <v>269</v>
      </c>
      <c r="B77">
        <v>32</v>
      </c>
    </row>
    <row r="78" spans="1:2" x14ac:dyDescent="0.25">
      <c r="A78" s="4" t="s">
        <v>275</v>
      </c>
      <c r="B78">
        <v>35</v>
      </c>
    </row>
    <row r="79" spans="1:2" x14ac:dyDescent="0.25">
      <c r="A79" s="4" t="s">
        <v>278</v>
      </c>
      <c r="B79">
        <v>35</v>
      </c>
    </row>
    <row r="80" spans="1:2" x14ac:dyDescent="0.25">
      <c r="A80" s="4" t="s">
        <v>273</v>
      </c>
      <c r="B80">
        <v>37</v>
      </c>
    </row>
    <row r="81" spans="1:2" x14ac:dyDescent="0.25">
      <c r="A81" s="4" t="s">
        <v>270</v>
      </c>
      <c r="B81">
        <v>34</v>
      </c>
    </row>
    <row r="82" spans="1:2" x14ac:dyDescent="0.25">
      <c r="A82" s="4" t="s">
        <v>268</v>
      </c>
      <c r="B82">
        <v>38</v>
      </c>
    </row>
    <row r="83" spans="1:2" x14ac:dyDescent="0.25">
      <c r="A83" s="3" t="s">
        <v>244</v>
      </c>
    </row>
    <row r="84" spans="1:2" x14ac:dyDescent="0.25">
      <c r="A84" s="4" t="s">
        <v>385</v>
      </c>
      <c r="B84">
        <v>34</v>
      </c>
    </row>
    <row r="85" spans="1:2" x14ac:dyDescent="0.25">
      <c r="A85" s="4" t="s">
        <v>384</v>
      </c>
      <c r="B85">
        <v>35</v>
      </c>
    </row>
    <row r="86" spans="1:2" x14ac:dyDescent="0.25">
      <c r="A86" s="4" t="s">
        <v>382</v>
      </c>
      <c r="B86">
        <v>35</v>
      </c>
    </row>
    <row r="87" spans="1:2" x14ac:dyDescent="0.25">
      <c r="A87" s="4" t="s">
        <v>386</v>
      </c>
      <c r="B87">
        <v>36</v>
      </c>
    </row>
    <row r="88" spans="1:2" x14ac:dyDescent="0.25">
      <c r="A88" s="3" t="s">
        <v>22</v>
      </c>
    </row>
    <row r="89" spans="1:2" x14ac:dyDescent="0.25">
      <c r="A89" s="4" t="s">
        <v>255</v>
      </c>
      <c r="B89">
        <v>35</v>
      </c>
    </row>
    <row r="90" spans="1:2" x14ac:dyDescent="0.25">
      <c r="A90" s="4" t="s">
        <v>261</v>
      </c>
      <c r="B90">
        <v>33</v>
      </c>
    </row>
    <row r="91" spans="1:2" x14ac:dyDescent="0.25">
      <c r="A91" s="4" t="s">
        <v>262</v>
      </c>
      <c r="B91">
        <v>36</v>
      </c>
    </row>
    <row r="92" spans="1:2" x14ac:dyDescent="0.25">
      <c r="A92" s="4" t="s">
        <v>257</v>
      </c>
      <c r="B92">
        <v>36</v>
      </c>
    </row>
    <row r="93" spans="1:2" x14ac:dyDescent="0.25">
      <c r="A93" s="4" t="s">
        <v>260</v>
      </c>
      <c r="B93">
        <v>36</v>
      </c>
    </row>
    <row r="94" spans="1:2" x14ac:dyDescent="0.25">
      <c r="A94" s="4" t="s">
        <v>254</v>
      </c>
      <c r="B94">
        <v>38</v>
      </c>
    </row>
    <row r="95" spans="1:2" x14ac:dyDescent="0.25">
      <c r="A95" s="4" t="s">
        <v>258</v>
      </c>
      <c r="B95">
        <v>38</v>
      </c>
    </row>
    <row r="96" spans="1:2" x14ac:dyDescent="0.25">
      <c r="A96" s="3" t="s">
        <v>217</v>
      </c>
    </row>
    <row r="97" spans="1:2" x14ac:dyDescent="0.25">
      <c r="A97" s="4" t="s">
        <v>361</v>
      </c>
      <c r="B97">
        <v>34</v>
      </c>
    </row>
    <row r="98" spans="1:2" x14ac:dyDescent="0.25">
      <c r="A98" s="4" t="s">
        <v>368</v>
      </c>
      <c r="B98">
        <v>34</v>
      </c>
    </row>
    <row r="99" spans="1:2" x14ac:dyDescent="0.25">
      <c r="A99" s="4" t="s">
        <v>367</v>
      </c>
      <c r="B99">
        <v>36</v>
      </c>
    </row>
    <row r="100" spans="1:2" x14ac:dyDescent="0.25">
      <c r="A100" s="4" t="s">
        <v>372</v>
      </c>
      <c r="B100">
        <v>30</v>
      </c>
    </row>
    <row r="101" spans="1:2" x14ac:dyDescent="0.25">
      <c r="A101" s="4" t="s">
        <v>363</v>
      </c>
      <c r="B101">
        <v>38</v>
      </c>
    </row>
    <row r="102" spans="1:2" x14ac:dyDescent="0.25">
      <c r="A102" s="4" t="s">
        <v>364</v>
      </c>
      <c r="B102">
        <v>38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EA20-3F89-4AF0-9A9C-B1A68B340A52}">
  <dimension ref="A1:W134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B12" sqref="B12"/>
    </sheetView>
  </sheetViews>
  <sheetFormatPr defaultColWidth="13.7109375" defaultRowHeight="15" x14ac:dyDescent="0.25"/>
  <cols>
    <col min="1" max="1" width="6" style="39" bestFit="1" customWidth="1"/>
    <col min="2" max="2" width="23.140625" style="39" bestFit="1" customWidth="1"/>
    <col min="3" max="3" width="8" style="39" bestFit="1" customWidth="1"/>
    <col min="4" max="4" width="43.28515625" style="39" bestFit="1" customWidth="1"/>
    <col min="5" max="5" width="58.140625" style="39" hidden="1" customWidth="1"/>
    <col min="6" max="6" width="31.42578125" style="39" hidden="1" customWidth="1"/>
    <col min="7" max="7" width="6.7109375" style="15" bestFit="1" customWidth="1"/>
    <col min="8" max="8" width="6.42578125" style="15" bestFit="1" customWidth="1"/>
    <col min="9" max="9" width="7.42578125" style="15" bestFit="1" customWidth="1"/>
    <col min="10" max="10" width="6.7109375" style="15" bestFit="1" customWidth="1"/>
    <col min="11" max="11" width="6.42578125" style="15" bestFit="1" customWidth="1"/>
    <col min="12" max="12" width="6.7109375" style="15" bestFit="1" customWidth="1"/>
    <col min="13" max="13" width="8.85546875" style="15" bestFit="1" customWidth="1"/>
    <col min="14" max="14" width="27.140625" style="15" customWidth="1"/>
    <col min="15" max="16384" width="13.7109375" style="39"/>
  </cols>
  <sheetData>
    <row r="1" spans="1:23" x14ac:dyDescent="0.25">
      <c r="G1" s="15">
        <f t="shared" ref="G1:M1" si="0">SUBTOTAL(9,G3:G134)</f>
        <v>61</v>
      </c>
      <c r="H1" s="15">
        <f t="shared" si="0"/>
        <v>62</v>
      </c>
      <c r="I1" s="15">
        <f t="shared" si="0"/>
        <v>62</v>
      </c>
      <c r="J1" s="15">
        <f t="shared" si="0"/>
        <v>63</v>
      </c>
      <c r="K1" s="15">
        <f t="shared" si="0"/>
        <v>59</v>
      </c>
      <c r="L1" s="15">
        <f t="shared" si="0"/>
        <v>27</v>
      </c>
      <c r="M1" s="15">
        <f t="shared" si="0"/>
        <v>334</v>
      </c>
    </row>
    <row r="2" spans="1:23" x14ac:dyDescent="0.25">
      <c r="A2" s="42" t="s">
        <v>23</v>
      </c>
      <c r="B2" s="42" t="s">
        <v>21</v>
      </c>
      <c r="C2" s="20" t="s">
        <v>70</v>
      </c>
      <c r="D2" s="20" t="s">
        <v>71</v>
      </c>
      <c r="E2" s="20" t="s">
        <v>72</v>
      </c>
      <c r="F2" s="20" t="s">
        <v>73</v>
      </c>
      <c r="G2" s="16" t="s">
        <v>77</v>
      </c>
      <c r="H2" s="16" t="s">
        <v>78</v>
      </c>
      <c r="I2" s="16" t="s">
        <v>79</v>
      </c>
      <c r="J2" s="16" t="s">
        <v>80</v>
      </c>
      <c r="K2" s="16" t="s">
        <v>81</v>
      </c>
      <c r="L2" s="16" t="s">
        <v>82</v>
      </c>
      <c r="M2" s="16" t="s">
        <v>366</v>
      </c>
      <c r="N2" s="16" t="s">
        <v>388</v>
      </c>
    </row>
    <row r="3" spans="1:23" x14ac:dyDescent="0.25">
      <c r="A3" s="40">
        <v>10931</v>
      </c>
      <c r="B3" s="40" t="s">
        <v>22</v>
      </c>
      <c r="C3" s="40">
        <v>8900011</v>
      </c>
      <c r="D3" s="40" t="s">
        <v>254</v>
      </c>
      <c r="E3" s="40" t="s">
        <v>0</v>
      </c>
      <c r="F3" s="40" t="s">
        <v>1</v>
      </c>
      <c r="G3" s="40">
        <v>1</v>
      </c>
      <c r="H3" s="40"/>
      <c r="I3" s="40">
        <v>1</v>
      </c>
      <c r="J3" s="40"/>
      <c r="K3" s="40">
        <v>1</v>
      </c>
      <c r="L3" s="40"/>
      <c r="M3" s="40">
        <f>SUM(G3:L3)</f>
        <v>3</v>
      </c>
      <c r="N3" s="40">
        <v>38</v>
      </c>
    </row>
    <row r="4" spans="1:23" x14ac:dyDescent="0.25">
      <c r="A4" s="40">
        <v>10931</v>
      </c>
      <c r="B4" s="40" t="s">
        <v>22</v>
      </c>
      <c r="C4" s="40">
        <v>663</v>
      </c>
      <c r="D4" s="40" t="s">
        <v>255</v>
      </c>
      <c r="E4" s="40" t="s">
        <v>5</v>
      </c>
      <c r="F4" s="40" t="s">
        <v>6</v>
      </c>
      <c r="G4" s="40"/>
      <c r="H4" s="40">
        <v>1</v>
      </c>
      <c r="I4" s="40"/>
      <c r="J4" s="40">
        <v>1</v>
      </c>
      <c r="K4" s="40"/>
      <c r="L4" s="40">
        <v>1</v>
      </c>
      <c r="M4" s="40">
        <f t="shared" ref="M4:M27" si="1">SUM(G4:L4)</f>
        <v>3</v>
      </c>
      <c r="N4" s="40">
        <v>35</v>
      </c>
    </row>
    <row r="5" spans="1:23" x14ac:dyDescent="0.25">
      <c r="A5" s="26">
        <v>10931</v>
      </c>
      <c r="B5" s="26" t="s">
        <v>22</v>
      </c>
      <c r="C5" s="26">
        <v>192</v>
      </c>
      <c r="D5" s="26" t="s">
        <v>256</v>
      </c>
      <c r="E5" s="40" t="s">
        <v>7</v>
      </c>
      <c r="F5" s="40" t="s">
        <v>8</v>
      </c>
      <c r="G5" s="26">
        <v>1</v>
      </c>
      <c r="H5" s="26"/>
      <c r="I5" s="26">
        <v>1</v>
      </c>
      <c r="J5" s="26"/>
      <c r="K5" s="26"/>
      <c r="L5" s="26"/>
      <c r="M5" s="26">
        <f t="shared" si="1"/>
        <v>2</v>
      </c>
      <c r="N5" s="26">
        <v>7</v>
      </c>
    </row>
    <row r="6" spans="1:23" x14ac:dyDescent="0.25">
      <c r="A6" s="40">
        <v>10931</v>
      </c>
      <c r="B6" s="40" t="s">
        <v>22</v>
      </c>
      <c r="C6" s="40">
        <v>9345</v>
      </c>
      <c r="D6" s="40" t="s">
        <v>257</v>
      </c>
      <c r="E6" s="40" t="s">
        <v>9</v>
      </c>
      <c r="F6" s="40" t="s">
        <v>8</v>
      </c>
      <c r="G6" s="40">
        <v>1</v>
      </c>
      <c r="H6" s="40"/>
      <c r="I6" s="40">
        <v>1</v>
      </c>
      <c r="J6" s="40"/>
      <c r="K6" s="40">
        <v>1</v>
      </c>
      <c r="L6" s="40"/>
      <c r="M6" s="40">
        <f t="shared" si="1"/>
        <v>3</v>
      </c>
      <c r="N6" s="40">
        <v>36</v>
      </c>
    </row>
    <row r="7" spans="1:23" x14ac:dyDescent="0.25">
      <c r="A7" s="40">
        <v>10931</v>
      </c>
      <c r="B7" s="40" t="s">
        <v>22</v>
      </c>
      <c r="C7" s="40">
        <v>8900017</v>
      </c>
      <c r="D7" s="40" t="s">
        <v>258</v>
      </c>
      <c r="E7" s="40" t="s">
        <v>10</v>
      </c>
      <c r="F7" s="40" t="s">
        <v>11</v>
      </c>
      <c r="G7" s="40">
        <v>1</v>
      </c>
      <c r="H7" s="40"/>
      <c r="I7" s="40">
        <v>1</v>
      </c>
      <c r="J7" s="40"/>
      <c r="K7" s="40">
        <v>1</v>
      </c>
      <c r="L7" s="40"/>
      <c r="M7" s="40">
        <f t="shared" si="1"/>
        <v>3</v>
      </c>
      <c r="N7" s="40">
        <v>38</v>
      </c>
    </row>
    <row r="8" spans="1:23" s="41" customFormat="1" x14ac:dyDescent="0.25">
      <c r="A8" s="26">
        <v>10931</v>
      </c>
      <c r="B8" s="26" t="s">
        <v>22</v>
      </c>
      <c r="C8" s="26">
        <v>219</v>
      </c>
      <c r="D8" s="26" t="s">
        <v>259</v>
      </c>
      <c r="E8" s="40" t="s">
        <v>12</v>
      </c>
      <c r="F8" s="40" t="s">
        <v>13</v>
      </c>
      <c r="G8" s="26">
        <v>1</v>
      </c>
      <c r="H8" s="26"/>
      <c r="I8" s="26"/>
      <c r="J8" s="26"/>
      <c r="K8" s="26">
        <v>1</v>
      </c>
      <c r="L8" s="26"/>
      <c r="M8" s="26">
        <f t="shared" si="1"/>
        <v>2</v>
      </c>
      <c r="N8" s="26">
        <v>7</v>
      </c>
      <c r="O8" s="39"/>
      <c r="P8" s="39"/>
      <c r="Q8" s="39"/>
      <c r="R8" s="39"/>
      <c r="S8" s="39"/>
      <c r="T8" s="39"/>
      <c r="U8" s="39"/>
      <c r="V8" s="39"/>
      <c r="W8" s="39"/>
    </row>
    <row r="9" spans="1:23" x14ac:dyDescent="0.25">
      <c r="A9" s="40">
        <v>10931</v>
      </c>
      <c r="B9" s="40" t="s">
        <v>22</v>
      </c>
      <c r="C9" s="40">
        <v>337</v>
      </c>
      <c r="D9" s="40" t="s">
        <v>260</v>
      </c>
      <c r="E9" s="40" t="s">
        <v>14</v>
      </c>
      <c r="F9" s="40" t="s">
        <v>15</v>
      </c>
      <c r="G9" s="40"/>
      <c r="H9" s="40">
        <v>1</v>
      </c>
      <c r="I9" s="40"/>
      <c r="J9" s="40">
        <v>1</v>
      </c>
      <c r="K9" s="40"/>
      <c r="L9" s="40"/>
      <c r="M9" s="40">
        <f t="shared" si="1"/>
        <v>2</v>
      </c>
      <c r="N9" s="40">
        <v>36</v>
      </c>
    </row>
    <row r="10" spans="1:23" x14ac:dyDescent="0.25">
      <c r="A10" s="40">
        <v>10931</v>
      </c>
      <c r="B10" s="40" t="s">
        <v>22</v>
      </c>
      <c r="C10" s="40">
        <v>9622</v>
      </c>
      <c r="D10" s="40" t="s">
        <v>261</v>
      </c>
      <c r="E10" s="40" t="s">
        <v>16</v>
      </c>
      <c r="F10" s="40" t="s">
        <v>17</v>
      </c>
      <c r="G10" s="40"/>
      <c r="H10" s="40">
        <v>1</v>
      </c>
      <c r="I10" s="40"/>
      <c r="J10" s="40">
        <v>1</v>
      </c>
      <c r="K10" s="40"/>
      <c r="L10" s="40">
        <v>1</v>
      </c>
      <c r="M10" s="40">
        <f t="shared" si="1"/>
        <v>3</v>
      </c>
      <c r="N10" s="40">
        <v>33</v>
      </c>
    </row>
    <row r="11" spans="1:23" x14ac:dyDescent="0.25">
      <c r="A11" s="40">
        <v>10931</v>
      </c>
      <c r="B11" s="40" t="s">
        <v>22</v>
      </c>
      <c r="C11" s="40">
        <v>11809</v>
      </c>
      <c r="D11" s="40" t="s">
        <v>262</v>
      </c>
      <c r="E11" s="40" t="s">
        <v>19</v>
      </c>
      <c r="F11" s="40" t="s">
        <v>20</v>
      </c>
      <c r="G11" s="40"/>
      <c r="H11" s="40">
        <v>1</v>
      </c>
      <c r="I11" s="40"/>
      <c r="J11" s="40">
        <v>1</v>
      </c>
      <c r="K11" s="40"/>
      <c r="L11" s="40"/>
      <c r="M11" s="40">
        <f t="shared" si="1"/>
        <v>2</v>
      </c>
      <c r="N11" s="40">
        <v>36</v>
      </c>
    </row>
    <row r="12" spans="1:23" s="30" customFormat="1" x14ac:dyDescent="0.25">
      <c r="A12" s="26">
        <v>11587</v>
      </c>
      <c r="B12" s="26" t="s">
        <v>24</v>
      </c>
      <c r="C12" s="26">
        <v>9342</v>
      </c>
      <c r="D12" s="26" t="s">
        <v>263</v>
      </c>
      <c r="E12" s="40" t="s">
        <v>25</v>
      </c>
      <c r="F12" s="40" t="s">
        <v>26</v>
      </c>
      <c r="G12" s="26">
        <v>1</v>
      </c>
      <c r="H12" s="26"/>
      <c r="I12" s="26">
        <v>1</v>
      </c>
      <c r="J12" s="26"/>
      <c r="K12" s="26">
        <v>1</v>
      </c>
      <c r="L12" s="26"/>
      <c r="M12" s="26">
        <f t="shared" si="1"/>
        <v>3</v>
      </c>
      <c r="N12" s="26">
        <v>7</v>
      </c>
    </row>
    <row r="13" spans="1:23" x14ac:dyDescent="0.25">
      <c r="A13" s="40">
        <v>11587</v>
      </c>
      <c r="B13" s="40" t="s">
        <v>24</v>
      </c>
      <c r="C13" s="40">
        <v>8971164</v>
      </c>
      <c r="D13" s="40" t="s">
        <v>264</v>
      </c>
      <c r="E13" s="40" t="s">
        <v>27</v>
      </c>
      <c r="F13" s="40" t="s">
        <v>28</v>
      </c>
      <c r="G13" s="40"/>
      <c r="H13" s="40">
        <v>1</v>
      </c>
      <c r="I13" s="40"/>
      <c r="J13" s="40">
        <v>1</v>
      </c>
      <c r="K13" s="40"/>
      <c r="L13" s="40"/>
      <c r="M13" s="40">
        <f t="shared" si="1"/>
        <v>2</v>
      </c>
      <c r="N13" s="40">
        <v>19</v>
      </c>
    </row>
    <row r="14" spans="1:23" x14ac:dyDescent="0.25">
      <c r="A14" s="40">
        <v>11587</v>
      </c>
      <c r="B14" s="40" t="s">
        <v>24</v>
      </c>
      <c r="C14" s="40">
        <v>8971161</v>
      </c>
      <c r="D14" s="40" t="s">
        <v>265</v>
      </c>
      <c r="E14" s="40" t="s">
        <v>29</v>
      </c>
      <c r="F14" s="40" t="s">
        <v>30</v>
      </c>
      <c r="G14" s="40"/>
      <c r="H14" s="40">
        <v>1</v>
      </c>
      <c r="I14" s="40"/>
      <c r="J14" s="40">
        <v>1</v>
      </c>
      <c r="K14" s="40"/>
      <c r="L14" s="40"/>
      <c r="M14" s="40">
        <f t="shared" si="1"/>
        <v>2</v>
      </c>
      <c r="N14" s="40">
        <v>19</v>
      </c>
    </row>
    <row r="15" spans="1:23" x14ac:dyDescent="0.25">
      <c r="A15" s="40">
        <v>11587</v>
      </c>
      <c r="B15" s="40" t="s">
        <v>24</v>
      </c>
      <c r="C15" s="40">
        <v>1034</v>
      </c>
      <c r="D15" s="40" t="s">
        <v>266</v>
      </c>
      <c r="E15" s="40" t="s">
        <v>32</v>
      </c>
      <c r="F15" s="40" t="s">
        <v>33</v>
      </c>
      <c r="G15" s="40">
        <v>1</v>
      </c>
      <c r="H15" s="40"/>
      <c r="I15" s="40">
        <v>1</v>
      </c>
      <c r="J15" s="40"/>
      <c r="K15" s="40">
        <v>1</v>
      </c>
      <c r="L15" s="40"/>
      <c r="M15" s="40">
        <f t="shared" si="1"/>
        <v>3</v>
      </c>
      <c r="N15" s="40">
        <v>35</v>
      </c>
    </row>
    <row r="16" spans="1:23" x14ac:dyDescent="0.25">
      <c r="A16" s="40">
        <v>11587</v>
      </c>
      <c r="B16" s="40" t="s">
        <v>24</v>
      </c>
      <c r="C16" s="40">
        <v>11733</v>
      </c>
      <c r="D16" s="40" t="s">
        <v>267</v>
      </c>
      <c r="E16" s="40" t="s">
        <v>34</v>
      </c>
      <c r="F16" s="40" t="s">
        <v>35</v>
      </c>
      <c r="G16" s="40">
        <v>1</v>
      </c>
      <c r="H16" s="40">
        <v>1</v>
      </c>
      <c r="I16" s="40">
        <v>1</v>
      </c>
      <c r="J16" s="40">
        <v>1</v>
      </c>
      <c r="K16" s="40">
        <v>1</v>
      </c>
      <c r="L16" s="40">
        <v>1</v>
      </c>
      <c r="M16" s="40">
        <f t="shared" si="1"/>
        <v>6</v>
      </c>
      <c r="N16" s="40">
        <v>36</v>
      </c>
    </row>
    <row r="17" spans="1:14" x14ac:dyDescent="0.25">
      <c r="A17" s="40">
        <v>11023</v>
      </c>
      <c r="B17" s="40" t="s">
        <v>36</v>
      </c>
      <c r="C17" s="40">
        <v>8900003</v>
      </c>
      <c r="D17" s="40" t="s">
        <v>268</v>
      </c>
      <c r="E17" s="40" t="s">
        <v>37</v>
      </c>
      <c r="F17" s="40" t="s">
        <v>38</v>
      </c>
      <c r="G17" s="40">
        <v>1</v>
      </c>
      <c r="H17" s="40"/>
      <c r="I17" s="40">
        <v>1</v>
      </c>
      <c r="J17" s="40"/>
      <c r="K17" s="40">
        <v>1</v>
      </c>
      <c r="L17" s="40"/>
      <c r="M17" s="40">
        <f t="shared" si="1"/>
        <v>3</v>
      </c>
      <c r="N17" s="40">
        <v>38</v>
      </c>
    </row>
    <row r="18" spans="1:14" x14ac:dyDescent="0.25">
      <c r="A18" s="40">
        <v>11023</v>
      </c>
      <c r="B18" s="40" t="s">
        <v>36</v>
      </c>
      <c r="C18" s="40">
        <v>9340</v>
      </c>
      <c r="D18" s="40" t="s">
        <v>269</v>
      </c>
      <c r="E18" s="40" t="s">
        <v>39</v>
      </c>
      <c r="F18" s="40" t="s">
        <v>40</v>
      </c>
      <c r="G18" s="40"/>
      <c r="H18" s="40">
        <v>1</v>
      </c>
      <c r="I18" s="40"/>
      <c r="J18" s="40">
        <v>1</v>
      </c>
      <c r="K18" s="40"/>
      <c r="L18" s="40">
        <v>1</v>
      </c>
      <c r="M18" s="40">
        <f t="shared" si="1"/>
        <v>3</v>
      </c>
      <c r="N18" s="40">
        <v>32</v>
      </c>
    </row>
    <row r="19" spans="1:14" x14ac:dyDescent="0.25">
      <c r="A19" s="40">
        <v>11023</v>
      </c>
      <c r="B19" s="40" t="s">
        <v>36</v>
      </c>
      <c r="C19" s="40">
        <v>8900018</v>
      </c>
      <c r="D19" s="40" t="s">
        <v>270</v>
      </c>
      <c r="E19" s="40" t="s">
        <v>41</v>
      </c>
      <c r="F19" s="40" t="s">
        <v>40</v>
      </c>
      <c r="G19" s="40">
        <v>1</v>
      </c>
      <c r="H19" s="40"/>
      <c r="I19" s="40">
        <v>1</v>
      </c>
      <c r="J19" s="40"/>
      <c r="K19" s="40"/>
      <c r="L19" s="40"/>
      <c r="M19" s="40">
        <f t="shared" si="1"/>
        <v>2</v>
      </c>
      <c r="N19" s="40">
        <v>34</v>
      </c>
    </row>
    <row r="20" spans="1:14" x14ac:dyDescent="0.25">
      <c r="A20" s="40">
        <v>11023</v>
      </c>
      <c r="B20" s="40" t="s">
        <v>36</v>
      </c>
      <c r="C20" s="40">
        <v>4393</v>
      </c>
      <c r="D20" s="40" t="s">
        <v>271</v>
      </c>
      <c r="E20" s="40" t="s">
        <v>42</v>
      </c>
      <c r="F20" s="40" t="s">
        <v>40</v>
      </c>
      <c r="G20" s="40"/>
      <c r="H20" s="40">
        <v>1</v>
      </c>
      <c r="I20" s="40"/>
      <c r="J20" s="40">
        <v>1</v>
      </c>
      <c r="K20" s="40"/>
      <c r="L20" s="40"/>
      <c r="M20" s="40">
        <f t="shared" si="1"/>
        <v>2</v>
      </c>
      <c r="N20" s="40">
        <v>23</v>
      </c>
    </row>
    <row r="21" spans="1:14" x14ac:dyDescent="0.25">
      <c r="A21" s="26">
        <v>11023</v>
      </c>
      <c r="B21" s="26" t="s">
        <v>36</v>
      </c>
      <c r="C21" s="26">
        <v>3944</v>
      </c>
      <c r="D21" s="26" t="s">
        <v>272</v>
      </c>
      <c r="E21" s="40" t="s">
        <v>43</v>
      </c>
      <c r="F21" s="40" t="s">
        <v>40</v>
      </c>
      <c r="G21" s="26">
        <v>1</v>
      </c>
      <c r="H21" s="26"/>
      <c r="I21" s="26">
        <v>1</v>
      </c>
      <c r="J21" s="26"/>
      <c r="K21" s="26"/>
      <c r="L21" s="26"/>
      <c r="M21" s="26">
        <f t="shared" si="1"/>
        <v>2</v>
      </c>
      <c r="N21" s="26">
        <v>9</v>
      </c>
    </row>
    <row r="22" spans="1:14" x14ac:dyDescent="0.25">
      <c r="A22" s="40">
        <v>11023</v>
      </c>
      <c r="B22" s="40" t="s">
        <v>36</v>
      </c>
      <c r="C22" s="40">
        <v>8900010</v>
      </c>
      <c r="D22" s="40" t="s">
        <v>273</v>
      </c>
      <c r="E22" s="40" t="s">
        <v>44</v>
      </c>
      <c r="F22" s="40" t="s">
        <v>45</v>
      </c>
      <c r="G22" s="40">
        <v>1</v>
      </c>
      <c r="H22" s="40"/>
      <c r="I22" s="40">
        <v>1</v>
      </c>
      <c r="J22" s="40"/>
      <c r="K22" s="40">
        <v>1</v>
      </c>
      <c r="L22" s="40"/>
      <c r="M22" s="40">
        <f t="shared" si="1"/>
        <v>3</v>
      </c>
      <c r="N22" s="40">
        <v>37</v>
      </c>
    </row>
    <row r="23" spans="1:14" x14ac:dyDescent="0.25">
      <c r="A23" s="26">
        <v>11023</v>
      </c>
      <c r="B23" s="26" t="s">
        <v>36</v>
      </c>
      <c r="C23" s="26">
        <v>4009</v>
      </c>
      <c r="D23" s="26" t="s">
        <v>274</v>
      </c>
      <c r="E23" s="40" t="s">
        <v>46</v>
      </c>
      <c r="F23" s="40" t="s">
        <v>40</v>
      </c>
      <c r="G23" s="26"/>
      <c r="H23" s="26"/>
      <c r="I23" s="26"/>
      <c r="J23" s="26">
        <v>1</v>
      </c>
      <c r="K23" s="26"/>
      <c r="L23" s="26"/>
      <c r="M23" s="26">
        <f t="shared" si="1"/>
        <v>1</v>
      </c>
      <c r="N23" s="26">
        <v>14</v>
      </c>
    </row>
    <row r="24" spans="1:14" x14ac:dyDescent="0.25">
      <c r="A24" s="40">
        <v>11023</v>
      </c>
      <c r="B24" s="40" t="s">
        <v>36</v>
      </c>
      <c r="C24" s="40">
        <v>4029</v>
      </c>
      <c r="D24" s="40" t="s">
        <v>275</v>
      </c>
      <c r="E24" s="40" t="s">
        <v>47</v>
      </c>
      <c r="F24" s="40" t="s">
        <v>40</v>
      </c>
      <c r="G24" s="40">
        <v>1</v>
      </c>
      <c r="H24" s="40"/>
      <c r="I24" s="40">
        <v>1</v>
      </c>
      <c r="J24" s="40"/>
      <c r="K24" s="40">
        <v>1</v>
      </c>
      <c r="L24" s="40"/>
      <c r="M24" s="40">
        <f t="shared" si="1"/>
        <v>3</v>
      </c>
      <c r="N24" s="40">
        <v>35</v>
      </c>
    </row>
    <row r="25" spans="1:14" x14ac:dyDescent="0.25">
      <c r="A25" s="26">
        <v>11023</v>
      </c>
      <c r="B25" s="26" t="s">
        <v>36</v>
      </c>
      <c r="C25" s="26">
        <v>5047</v>
      </c>
      <c r="D25" s="26" t="s">
        <v>276</v>
      </c>
      <c r="E25" s="40" t="s">
        <v>48</v>
      </c>
      <c r="F25" s="40" t="s">
        <v>49</v>
      </c>
      <c r="G25" s="26"/>
      <c r="H25" s="26">
        <v>1</v>
      </c>
      <c r="I25" s="26"/>
      <c r="J25" s="26"/>
      <c r="K25" s="26"/>
      <c r="L25" s="26"/>
      <c r="M25" s="26">
        <f t="shared" si="1"/>
        <v>1</v>
      </c>
      <c r="N25" s="26">
        <v>7</v>
      </c>
    </row>
    <row r="26" spans="1:14" x14ac:dyDescent="0.25">
      <c r="A26" s="40">
        <v>11023</v>
      </c>
      <c r="B26" s="40" t="s">
        <v>36</v>
      </c>
      <c r="C26" s="40">
        <v>6971169</v>
      </c>
      <c r="D26" s="40" t="s">
        <v>277</v>
      </c>
      <c r="E26" s="40" t="s">
        <v>50</v>
      </c>
      <c r="F26" s="40" t="s">
        <v>51</v>
      </c>
      <c r="G26" s="40"/>
      <c r="H26" s="40"/>
      <c r="I26" s="40"/>
      <c r="J26" s="40"/>
      <c r="K26" s="40">
        <v>1</v>
      </c>
      <c r="L26" s="40"/>
      <c r="M26" s="40">
        <f t="shared" si="1"/>
        <v>1</v>
      </c>
      <c r="N26" s="40">
        <v>19</v>
      </c>
    </row>
    <row r="27" spans="1:14" x14ac:dyDescent="0.25">
      <c r="A27" s="40">
        <v>11023</v>
      </c>
      <c r="B27" s="40" t="s">
        <v>36</v>
      </c>
      <c r="C27" s="40">
        <v>1058</v>
      </c>
      <c r="D27" s="40" t="s">
        <v>278</v>
      </c>
      <c r="E27" s="40" t="s">
        <v>52</v>
      </c>
      <c r="F27" s="40" t="s">
        <v>53</v>
      </c>
      <c r="G27" s="40"/>
      <c r="H27" s="40">
        <v>1</v>
      </c>
      <c r="I27" s="40"/>
      <c r="J27" s="40">
        <v>1</v>
      </c>
      <c r="K27" s="40"/>
      <c r="L27" s="40">
        <v>1</v>
      </c>
      <c r="M27" s="40">
        <f t="shared" si="1"/>
        <v>3</v>
      </c>
      <c r="N27" s="40">
        <v>35</v>
      </c>
    </row>
    <row r="28" spans="1:14" x14ac:dyDescent="0.25">
      <c r="A28" s="40">
        <v>11679</v>
      </c>
      <c r="B28" s="40" t="s">
        <v>87</v>
      </c>
      <c r="C28" s="40">
        <v>10948</v>
      </c>
      <c r="D28" s="40" t="s">
        <v>279</v>
      </c>
      <c r="E28" s="40" t="s">
        <v>88</v>
      </c>
      <c r="F28" s="40" t="s">
        <v>26</v>
      </c>
      <c r="G28" s="40">
        <v>1</v>
      </c>
      <c r="H28" s="40"/>
      <c r="I28" s="40">
        <v>1</v>
      </c>
      <c r="J28" s="40"/>
      <c r="K28" s="40">
        <v>1</v>
      </c>
      <c r="L28" s="40"/>
      <c r="M28" s="40">
        <f t="shared" ref="M28:M71" si="2">SUM(G28:L28)</f>
        <v>3</v>
      </c>
      <c r="N28" s="40">
        <v>33</v>
      </c>
    </row>
    <row r="29" spans="1:14" x14ac:dyDescent="0.25">
      <c r="A29" s="26">
        <v>11679</v>
      </c>
      <c r="B29" s="26" t="s">
        <v>87</v>
      </c>
      <c r="C29" s="26">
        <v>225</v>
      </c>
      <c r="D29" s="26" t="s">
        <v>280</v>
      </c>
      <c r="E29" s="40" t="s">
        <v>89</v>
      </c>
      <c r="F29" s="40" t="s">
        <v>26</v>
      </c>
      <c r="G29" s="26">
        <v>1</v>
      </c>
      <c r="H29" s="26"/>
      <c r="I29" s="26">
        <v>1</v>
      </c>
      <c r="J29" s="26"/>
      <c r="K29" s="26">
        <v>1</v>
      </c>
      <c r="L29" s="26"/>
      <c r="M29" s="26">
        <f t="shared" si="2"/>
        <v>3</v>
      </c>
      <c r="N29" s="26">
        <v>7</v>
      </c>
    </row>
    <row r="30" spans="1:14" x14ac:dyDescent="0.25">
      <c r="A30" s="40">
        <v>11679</v>
      </c>
      <c r="B30" s="40" t="s">
        <v>87</v>
      </c>
      <c r="C30" s="40">
        <v>8900002</v>
      </c>
      <c r="D30" s="40" t="s">
        <v>281</v>
      </c>
      <c r="E30" s="40" t="s">
        <v>90</v>
      </c>
      <c r="F30" s="40" t="s">
        <v>91</v>
      </c>
      <c r="G30" s="40"/>
      <c r="H30" s="40">
        <v>1</v>
      </c>
      <c r="I30" s="40"/>
      <c r="J30" s="40">
        <v>1</v>
      </c>
      <c r="K30" s="40"/>
      <c r="L30" s="40"/>
      <c r="M30" s="40">
        <f t="shared" si="2"/>
        <v>2</v>
      </c>
      <c r="N30" s="40">
        <v>38</v>
      </c>
    </row>
    <row r="31" spans="1:14" x14ac:dyDescent="0.25">
      <c r="A31" s="40">
        <v>11679</v>
      </c>
      <c r="B31" s="40" t="s">
        <v>87</v>
      </c>
      <c r="C31" s="40">
        <v>1011</v>
      </c>
      <c r="D31" s="40" t="s">
        <v>282</v>
      </c>
      <c r="E31" s="40" t="s">
        <v>92</v>
      </c>
      <c r="F31" s="40" t="s">
        <v>93</v>
      </c>
      <c r="G31" s="40"/>
      <c r="H31" s="40">
        <v>1</v>
      </c>
      <c r="I31" s="40"/>
      <c r="J31" s="40">
        <v>1</v>
      </c>
      <c r="K31" s="40"/>
      <c r="L31" s="40"/>
      <c r="M31" s="40">
        <f t="shared" si="2"/>
        <v>2</v>
      </c>
      <c r="N31" s="40">
        <v>35</v>
      </c>
    </row>
    <row r="32" spans="1:14" x14ac:dyDescent="0.25">
      <c r="A32" s="40">
        <v>11679</v>
      </c>
      <c r="B32" s="40" t="s">
        <v>87</v>
      </c>
      <c r="C32" s="40">
        <v>9635</v>
      </c>
      <c r="D32" s="40" t="s">
        <v>283</v>
      </c>
      <c r="E32" s="40" t="s">
        <v>94</v>
      </c>
      <c r="F32" s="40" t="s">
        <v>86</v>
      </c>
      <c r="G32" s="40">
        <v>1</v>
      </c>
      <c r="H32" s="40">
        <v>1</v>
      </c>
      <c r="I32" s="40">
        <v>1</v>
      </c>
      <c r="J32" s="40">
        <v>1</v>
      </c>
      <c r="K32" s="40">
        <v>1</v>
      </c>
      <c r="L32" s="40">
        <v>1</v>
      </c>
      <c r="M32" s="40">
        <f t="shared" si="2"/>
        <v>6</v>
      </c>
      <c r="N32" s="40">
        <v>36</v>
      </c>
    </row>
    <row r="33" spans="1:23" x14ac:dyDescent="0.25">
      <c r="A33" s="40">
        <v>11678</v>
      </c>
      <c r="B33" s="40" t="s">
        <v>95</v>
      </c>
      <c r="C33" s="40">
        <v>4293</v>
      </c>
      <c r="D33" s="40" t="s">
        <v>284</v>
      </c>
      <c r="E33" s="40" t="s">
        <v>96</v>
      </c>
      <c r="F33" s="40" t="s">
        <v>55</v>
      </c>
      <c r="G33" s="40">
        <v>1</v>
      </c>
      <c r="H33" s="40"/>
      <c r="I33" s="40">
        <v>1</v>
      </c>
      <c r="J33" s="40"/>
      <c r="K33" s="40">
        <v>1</v>
      </c>
      <c r="L33" s="40"/>
      <c r="M33" s="40">
        <f t="shared" si="2"/>
        <v>3</v>
      </c>
      <c r="N33" s="40">
        <v>33</v>
      </c>
    </row>
    <row r="34" spans="1:23" x14ac:dyDescent="0.25">
      <c r="A34" s="40">
        <v>11678</v>
      </c>
      <c r="B34" s="40" t="s">
        <v>95</v>
      </c>
      <c r="C34" s="40">
        <v>8900000</v>
      </c>
      <c r="D34" s="40" t="s">
        <v>285</v>
      </c>
      <c r="E34" s="40" t="s">
        <v>97</v>
      </c>
      <c r="F34" s="40" t="s">
        <v>54</v>
      </c>
      <c r="G34" s="40">
        <v>1</v>
      </c>
      <c r="H34" s="40"/>
      <c r="I34" s="40">
        <v>1</v>
      </c>
      <c r="J34" s="40"/>
      <c r="K34" s="40">
        <v>1</v>
      </c>
      <c r="L34" s="40"/>
      <c r="M34" s="40">
        <f t="shared" si="2"/>
        <v>3</v>
      </c>
      <c r="N34" s="40">
        <v>38</v>
      </c>
    </row>
    <row r="35" spans="1:23" x14ac:dyDescent="0.25">
      <c r="A35" s="40">
        <v>11678</v>
      </c>
      <c r="B35" s="40" t="s">
        <v>95</v>
      </c>
      <c r="C35" s="40">
        <v>4458</v>
      </c>
      <c r="D35" s="40" t="s">
        <v>286</v>
      </c>
      <c r="E35" s="40" t="s">
        <v>98</v>
      </c>
      <c r="F35" s="40" t="s">
        <v>99</v>
      </c>
      <c r="G35" s="40"/>
      <c r="H35" s="40">
        <v>1</v>
      </c>
      <c r="I35" s="40"/>
      <c r="J35" s="40">
        <v>1</v>
      </c>
      <c r="K35" s="40"/>
      <c r="L35" s="40">
        <v>1</v>
      </c>
      <c r="M35" s="40">
        <f t="shared" si="2"/>
        <v>3</v>
      </c>
      <c r="N35" s="40">
        <v>34</v>
      </c>
    </row>
    <row r="36" spans="1:23" x14ac:dyDescent="0.25">
      <c r="A36" s="40">
        <v>11678</v>
      </c>
      <c r="B36" s="40" t="s">
        <v>95</v>
      </c>
      <c r="C36" s="40">
        <v>465</v>
      </c>
      <c r="D36" s="40" t="s">
        <v>287</v>
      </c>
      <c r="E36" s="40" t="s">
        <v>100</v>
      </c>
      <c r="F36" s="40" t="s">
        <v>99</v>
      </c>
      <c r="G36" s="40"/>
      <c r="H36" s="40">
        <v>1</v>
      </c>
      <c r="I36" s="40"/>
      <c r="J36" s="40">
        <v>1</v>
      </c>
      <c r="K36" s="40"/>
      <c r="L36" s="40">
        <v>1</v>
      </c>
      <c r="M36" s="40">
        <f t="shared" si="2"/>
        <v>3</v>
      </c>
      <c r="N36" s="40">
        <v>34</v>
      </c>
    </row>
    <row r="37" spans="1:23" x14ac:dyDescent="0.25">
      <c r="A37" s="40">
        <v>11678</v>
      </c>
      <c r="B37" s="40" t="s">
        <v>95</v>
      </c>
      <c r="C37" s="40">
        <v>989</v>
      </c>
      <c r="D37" s="40" t="s">
        <v>288</v>
      </c>
      <c r="E37" s="40" t="s">
        <v>101</v>
      </c>
      <c r="F37" s="40" t="s">
        <v>99</v>
      </c>
      <c r="G37" s="40">
        <v>1</v>
      </c>
      <c r="H37" s="40"/>
      <c r="I37" s="40">
        <v>1</v>
      </c>
      <c r="J37" s="40"/>
      <c r="K37" s="40">
        <v>1</v>
      </c>
      <c r="L37" s="40"/>
      <c r="M37" s="40">
        <f t="shared" si="2"/>
        <v>3</v>
      </c>
      <c r="N37" s="40">
        <v>33</v>
      </c>
    </row>
    <row r="38" spans="1:23" x14ac:dyDescent="0.25">
      <c r="A38" s="40">
        <v>11678</v>
      </c>
      <c r="B38" s="40" t="s">
        <v>95</v>
      </c>
      <c r="C38" s="40">
        <v>4202</v>
      </c>
      <c r="D38" s="40" t="s">
        <v>289</v>
      </c>
      <c r="E38" s="40" t="s">
        <v>102</v>
      </c>
      <c r="F38" s="40" t="s">
        <v>103</v>
      </c>
      <c r="G38" s="40"/>
      <c r="H38" s="40">
        <v>1</v>
      </c>
      <c r="I38" s="40"/>
      <c r="J38" s="40">
        <v>1</v>
      </c>
      <c r="K38" s="40"/>
      <c r="L38" s="40"/>
      <c r="M38" s="40">
        <f t="shared" si="2"/>
        <v>2</v>
      </c>
      <c r="N38" s="40">
        <v>34</v>
      </c>
    </row>
    <row r="39" spans="1:23" s="41" customFormat="1" x14ac:dyDescent="0.25">
      <c r="A39" s="26">
        <v>11678</v>
      </c>
      <c r="B39" s="26" t="s">
        <v>95</v>
      </c>
      <c r="C39" s="26">
        <v>186</v>
      </c>
      <c r="D39" s="26" t="s">
        <v>290</v>
      </c>
      <c r="E39" s="40" t="s">
        <v>104</v>
      </c>
      <c r="F39" s="40" t="s">
        <v>105</v>
      </c>
      <c r="G39" s="26"/>
      <c r="H39" s="26">
        <v>1</v>
      </c>
      <c r="I39" s="26"/>
      <c r="J39" s="26">
        <v>1</v>
      </c>
      <c r="K39" s="26"/>
      <c r="L39" s="26"/>
      <c r="M39" s="26">
        <f t="shared" si="2"/>
        <v>2</v>
      </c>
      <c r="N39" s="26">
        <v>7</v>
      </c>
      <c r="O39" s="39"/>
      <c r="P39" s="39"/>
      <c r="Q39" s="39"/>
      <c r="R39" s="39"/>
      <c r="S39" s="39"/>
      <c r="T39" s="39"/>
      <c r="U39" s="39"/>
      <c r="V39" s="39"/>
      <c r="W39" s="39"/>
    </row>
    <row r="40" spans="1:23" x14ac:dyDescent="0.25">
      <c r="A40" s="40">
        <v>11678</v>
      </c>
      <c r="B40" s="40" t="s">
        <v>95</v>
      </c>
      <c r="C40" s="40">
        <v>950</v>
      </c>
      <c r="D40" s="40" t="s">
        <v>291</v>
      </c>
      <c r="E40" s="40" t="s">
        <v>106</v>
      </c>
      <c r="F40" s="40" t="s">
        <v>105</v>
      </c>
      <c r="G40" s="40"/>
      <c r="H40" s="40">
        <v>1</v>
      </c>
      <c r="I40" s="40"/>
      <c r="J40" s="40">
        <v>1</v>
      </c>
      <c r="K40" s="40">
        <v>1</v>
      </c>
      <c r="L40" s="40"/>
      <c r="M40" s="40">
        <f t="shared" si="2"/>
        <v>3</v>
      </c>
      <c r="N40" s="40">
        <v>36</v>
      </c>
    </row>
    <row r="41" spans="1:23" s="41" customFormat="1" x14ac:dyDescent="0.25">
      <c r="A41" s="26">
        <v>11678</v>
      </c>
      <c r="B41" s="26" t="s">
        <v>95</v>
      </c>
      <c r="C41" s="26">
        <v>11825</v>
      </c>
      <c r="D41" s="26" t="s">
        <v>292</v>
      </c>
      <c r="E41" s="40" t="s">
        <v>107</v>
      </c>
      <c r="F41" s="40" t="s">
        <v>108</v>
      </c>
      <c r="G41" s="26">
        <v>1</v>
      </c>
      <c r="H41" s="26"/>
      <c r="I41" s="26">
        <v>1</v>
      </c>
      <c r="J41" s="26"/>
      <c r="K41" s="26"/>
      <c r="L41" s="26"/>
      <c r="M41" s="26">
        <f t="shared" si="2"/>
        <v>2</v>
      </c>
      <c r="N41" s="26">
        <v>11</v>
      </c>
      <c r="O41" s="39"/>
      <c r="P41" s="39"/>
      <c r="Q41" s="39"/>
      <c r="R41" s="39"/>
      <c r="S41" s="39"/>
      <c r="T41" s="39"/>
      <c r="U41" s="39"/>
      <c r="V41" s="39"/>
      <c r="W41" s="39"/>
    </row>
    <row r="42" spans="1:23" x14ac:dyDescent="0.25">
      <c r="A42" s="40">
        <v>11868</v>
      </c>
      <c r="B42" s="40" t="s">
        <v>115</v>
      </c>
      <c r="C42" s="40">
        <v>9487</v>
      </c>
      <c r="D42" s="40" t="s">
        <v>293</v>
      </c>
      <c r="E42" s="40" t="s">
        <v>116</v>
      </c>
      <c r="F42" s="40" t="s">
        <v>117</v>
      </c>
      <c r="G42" s="40"/>
      <c r="H42" s="40">
        <v>1</v>
      </c>
      <c r="I42" s="40"/>
      <c r="J42" s="40">
        <v>1</v>
      </c>
      <c r="K42" s="40"/>
      <c r="L42" s="40">
        <v>1</v>
      </c>
      <c r="M42" s="40">
        <f t="shared" si="2"/>
        <v>3</v>
      </c>
      <c r="N42" s="40">
        <v>31</v>
      </c>
    </row>
    <row r="43" spans="1:23" s="41" customFormat="1" x14ac:dyDescent="0.25">
      <c r="A43" s="26">
        <v>11868</v>
      </c>
      <c r="B43" s="26" t="s">
        <v>115</v>
      </c>
      <c r="C43" s="26">
        <v>557</v>
      </c>
      <c r="D43" s="26" t="s">
        <v>294</v>
      </c>
      <c r="E43" s="40" t="s">
        <v>118</v>
      </c>
      <c r="F43" s="40" t="s">
        <v>119</v>
      </c>
      <c r="G43" s="26"/>
      <c r="H43" s="26">
        <v>1</v>
      </c>
      <c r="I43" s="26"/>
      <c r="J43" s="26">
        <v>1</v>
      </c>
      <c r="K43" s="26"/>
      <c r="L43" s="26"/>
      <c r="M43" s="26">
        <f t="shared" si="2"/>
        <v>2</v>
      </c>
      <c r="N43" s="26">
        <v>11</v>
      </c>
      <c r="O43" s="39"/>
      <c r="P43" s="39"/>
      <c r="Q43" s="39"/>
      <c r="R43" s="39"/>
      <c r="S43" s="39"/>
      <c r="T43" s="39"/>
      <c r="U43" s="39"/>
      <c r="V43" s="39"/>
      <c r="W43" s="39"/>
    </row>
    <row r="44" spans="1:23" x14ac:dyDescent="0.25">
      <c r="A44" s="40">
        <v>11868</v>
      </c>
      <c r="B44" s="40" t="s">
        <v>115</v>
      </c>
      <c r="C44" s="40">
        <v>8971165</v>
      </c>
      <c r="D44" s="40" t="s">
        <v>295</v>
      </c>
      <c r="E44" s="40" t="s">
        <v>120</v>
      </c>
      <c r="F44" s="40" t="s">
        <v>119</v>
      </c>
      <c r="G44" s="40"/>
      <c r="H44" s="40">
        <v>1</v>
      </c>
      <c r="I44" s="40"/>
      <c r="J44" s="40">
        <v>1</v>
      </c>
      <c r="K44" s="40"/>
      <c r="L44" s="40"/>
      <c r="M44" s="40">
        <f t="shared" si="2"/>
        <v>2</v>
      </c>
      <c r="N44" s="40">
        <v>19</v>
      </c>
    </row>
    <row r="45" spans="1:23" x14ac:dyDescent="0.25">
      <c r="A45" s="40">
        <v>11868</v>
      </c>
      <c r="B45" s="40" t="s">
        <v>115</v>
      </c>
      <c r="C45" s="40">
        <v>3166</v>
      </c>
      <c r="D45" s="40" t="s">
        <v>296</v>
      </c>
      <c r="E45" s="40" t="s">
        <v>121</v>
      </c>
      <c r="F45" s="40" t="s">
        <v>122</v>
      </c>
      <c r="G45" s="40">
        <v>1</v>
      </c>
      <c r="H45" s="40"/>
      <c r="I45" s="40">
        <v>1</v>
      </c>
      <c r="J45" s="40"/>
      <c r="K45" s="40">
        <v>1</v>
      </c>
      <c r="L45" s="40"/>
      <c r="M45" s="40">
        <f t="shared" si="2"/>
        <v>3</v>
      </c>
      <c r="N45" s="40">
        <v>34</v>
      </c>
    </row>
    <row r="46" spans="1:23" x14ac:dyDescent="0.25">
      <c r="A46" s="40">
        <v>11868</v>
      </c>
      <c r="B46" s="40" t="s">
        <v>115</v>
      </c>
      <c r="C46" s="40">
        <v>8900001</v>
      </c>
      <c r="D46" s="40" t="s">
        <v>297</v>
      </c>
      <c r="E46" s="40" t="s">
        <v>123</v>
      </c>
      <c r="F46" s="40" t="s">
        <v>124</v>
      </c>
      <c r="G46" s="40">
        <v>1</v>
      </c>
      <c r="H46" s="40"/>
      <c r="I46" s="40">
        <v>1</v>
      </c>
      <c r="J46" s="40"/>
      <c r="K46" s="40">
        <v>1</v>
      </c>
      <c r="L46" s="40"/>
      <c r="M46" s="40">
        <f t="shared" si="2"/>
        <v>3</v>
      </c>
      <c r="N46" s="40">
        <v>38</v>
      </c>
    </row>
    <row r="47" spans="1:23" s="22" customFormat="1" x14ac:dyDescent="0.25">
      <c r="A47" s="40">
        <v>11868</v>
      </c>
      <c r="B47" s="40" t="s">
        <v>115</v>
      </c>
      <c r="C47" s="40">
        <v>8971163</v>
      </c>
      <c r="D47" s="40" t="s">
        <v>298</v>
      </c>
      <c r="E47" s="40" t="s">
        <v>125</v>
      </c>
      <c r="F47" s="40" t="s">
        <v>111</v>
      </c>
      <c r="G47" s="40"/>
      <c r="H47" s="40">
        <v>1</v>
      </c>
      <c r="I47" s="40"/>
      <c r="J47" s="40">
        <v>1</v>
      </c>
      <c r="K47" s="40"/>
      <c r="L47" s="40">
        <v>1</v>
      </c>
      <c r="M47" s="40">
        <f t="shared" si="2"/>
        <v>3</v>
      </c>
      <c r="N47" s="40">
        <v>19</v>
      </c>
    </row>
    <row r="48" spans="1:23" x14ac:dyDescent="0.25">
      <c r="A48" s="40">
        <v>11868</v>
      </c>
      <c r="B48" s="40" t="s">
        <v>115</v>
      </c>
      <c r="C48" s="40">
        <v>874</v>
      </c>
      <c r="D48" s="40" t="s">
        <v>299</v>
      </c>
      <c r="E48" s="40" t="s">
        <v>126</v>
      </c>
      <c r="F48" s="40" t="s">
        <v>112</v>
      </c>
      <c r="G48" s="40">
        <v>1</v>
      </c>
      <c r="H48" s="40"/>
      <c r="I48" s="40">
        <v>1</v>
      </c>
      <c r="J48" s="40"/>
      <c r="K48" s="40">
        <v>1</v>
      </c>
      <c r="L48" s="40"/>
      <c r="M48" s="40">
        <f t="shared" si="2"/>
        <v>3</v>
      </c>
      <c r="N48" s="40">
        <v>35</v>
      </c>
    </row>
    <row r="49" spans="1:23" x14ac:dyDescent="0.25">
      <c r="A49" s="40">
        <v>11868</v>
      </c>
      <c r="B49" s="40" t="s">
        <v>115</v>
      </c>
      <c r="C49" s="40">
        <v>1043</v>
      </c>
      <c r="D49" s="40" t="s">
        <v>300</v>
      </c>
      <c r="E49" s="40" t="s">
        <v>127</v>
      </c>
      <c r="F49" s="40" t="s">
        <v>112</v>
      </c>
      <c r="G49" s="40">
        <v>1</v>
      </c>
      <c r="H49" s="40"/>
      <c r="I49" s="40">
        <v>1</v>
      </c>
      <c r="J49" s="40"/>
      <c r="K49" s="40">
        <v>1</v>
      </c>
      <c r="L49" s="40"/>
      <c r="M49" s="40">
        <f t="shared" si="2"/>
        <v>3</v>
      </c>
      <c r="N49" s="40">
        <v>36</v>
      </c>
    </row>
    <row r="50" spans="1:23" s="41" customFormat="1" x14ac:dyDescent="0.25">
      <c r="A50" s="26">
        <v>11868</v>
      </c>
      <c r="B50" s="26" t="s">
        <v>115</v>
      </c>
      <c r="C50" s="26">
        <v>879</v>
      </c>
      <c r="D50" s="26" t="s">
        <v>301</v>
      </c>
      <c r="E50" s="40" t="s">
        <v>128</v>
      </c>
      <c r="F50" s="40" t="s">
        <v>111</v>
      </c>
      <c r="G50" s="26"/>
      <c r="H50" s="26"/>
      <c r="I50" s="26">
        <v>1</v>
      </c>
      <c r="J50" s="26"/>
      <c r="K50" s="26">
        <v>1</v>
      </c>
      <c r="L50" s="26"/>
      <c r="M50" s="26">
        <f t="shared" si="2"/>
        <v>2</v>
      </c>
      <c r="N50" s="26">
        <v>7</v>
      </c>
      <c r="O50" s="39"/>
      <c r="P50" s="39"/>
      <c r="Q50" s="39"/>
      <c r="R50" s="39"/>
      <c r="S50" s="39"/>
      <c r="T50" s="39"/>
      <c r="U50" s="39"/>
      <c r="V50" s="39"/>
      <c r="W50" s="39"/>
    </row>
    <row r="51" spans="1:23" x14ac:dyDescent="0.25">
      <c r="A51" s="40">
        <v>11868</v>
      </c>
      <c r="B51" s="40" t="s">
        <v>115</v>
      </c>
      <c r="C51" s="40">
        <v>9602</v>
      </c>
      <c r="D51" s="40" t="s">
        <v>302</v>
      </c>
      <c r="E51" s="40" t="s">
        <v>129</v>
      </c>
      <c r="F51" s="40" t="s">
        <v>112</v>
      </c>
      <c r="G51" s="40"/>
      <c r="H51" s="40">
        <v>1</v>
      </c>
      <c r="I51" s="40"/>
      <c r="J51" s="40">
        <v>1</v>
      </c>
      <c r="K51" s="40"/>
      <c r="L51" s="40"/>
      <c r="M51" s="40">
        <f t="shared" si="2"/>
        <v>2</v>
      </c>
      <c r="N51" s="40">
        <v>35</v>
      </c>
    </row>
    <row r="52" spans="1:23" x14ac:dyDescent="0.25">
      <c r="A52" s="26">
        <v>11932</v>
      </c>
      <c r="B52" s="26" t="s">
        <v>130</v>
      </c>
      <c r="C52" s="26">
        <v>4197</v>
      </c>
      <c r="D52" s="26" t="s">
        <v>303</v>
      </c>
      <c r="E52" s="40" t="s">
        <v>131</v>
      </c>
      <c r="F52" s="40" t="s">
        <v>40</v>
      </c>
      <c r="G52" s="26"/>
      <c r="H52" s="26">
        <v>1</v>
      </c>
      <c r="I52" s="26"/>
      <c r="J52" s="26">
        <v>1</v>
      </c>
      <c r="K52" s="26"/>
      <c r="L52" s="26"/>
      <c r="M52" s="26">
        <f t="shared" si="2"/>
        <v>2</v>
      </c>
      <c r="N52" s="26">
        <v>11</v>
      </c>
    </row>
    <row r="53" spans="1:23" x14ac:dyDescent="0.25">
      <c r="A53" s="40">
        <v>11932</v>
      </c>
      <c r="B53" s="40" t="s">
        <v>130</v>
      </c>
      <c r="C53" s="40">
        <v>958</v>
      </c>
      <c r="D53" s="40" t="s">
        <v>304</v>
      </c>
      <c r="E53" s="40" t="s">
        <v>132</v>
      </c>
      <c r="F53" s="40" t="s">
        <v>40</v>
      </c>
      <c r="G53" s="40">
        <v>1</v>
      </c>
      <c r="H53" s="40"/>
      <c r="I53" s="40">
        <v>1</v>
      </c>
      <c r="J53" s="40"/>
      <c r="K53" s="40">
        <v>1</v>
      </c>
      <c r="L53" s="40"/>
      <c r="M53" s="40">
        <f t="shared" si="2"/>
        <v>3</v>
      </c>
      <c r="N53" s="40">
        <v>35</v>
      </c>
    </row>
    <row r="54" spans="1:23" s="41" customFormat="1" x14ac:dyDescent="0.25">
      <c r="A54" s="26">
        <v>11932</v>
      </c>
      <c r="B54" s="26" t="s">
        <v>130</v>
      </c>
      <c r="C54" s="26">
        <v>228</v>
      </c>
      <c r="D54" s="26" t="s">
        <v>305</v>
      </c>
      <c r="E54" s="40" t="s">
        <v>133</v>
      </c>
      <c r="F54" s="40" t="s">
        <v>55</v>
      </c>
      <c r="G54" s="26">
        <v>1</v>
      </c>
      <c r="H54" s="26"/>
      <c r="I54" s="26">
        <v>1</v>
      </c>
      <c r="J54" s="26"/>
      <c r="K54" s="26"/>
      <c r="L54" s="26"/>
      <c r="M54" s="26">
        <f t="shared" si="2"/>
        <v>2</v>
      </c>
      <c r="N54" s="26">
        <v>7</v>
      </c>
      <c r="O54" s="39"/>
      <c r="P54" s="39"/>
      <c r="Q54" s="39"/>
      <c r="R54" s="39"/>
      <c r="S54" s="39"/>
      <c r="T54" s="39"/>
      <c r="U54" s="39"/>
      <c r="V54" s="39"/>
      <c r="W54" s="39"/>
    </row>
    <row r="55" spans="1:23" x14ac:dyDescent="0.25">
      <c r="A55" s="40">
        <v>11932</v>
      </c>
      <c r="B55" s="40" t="s">
        <v>130</v>
      </c>
      <c r="C55" s="40">
        <v>967</v>
      </c>
      <c r="D55" s="40" t="s">
        <v>306</v>
      </c>
      <c r="E55" s="40" t="s">
        <v>134</v>
      </c>
      <c r="F55" s="40" t="s">
        <v>55</v>
      </c>
      <c r="G55" s="40">
        <v>1</v>
      </c>
      <c r="H55" s="40"/>
      <c r="I55" s="40">
        <v>1</v>
      </c>
      <c r="J55" s="40"/>
      <c r="K55" s="40">
        <v>1</v>
      </c>
      <c r="L55" s="40"/>
      <c r="M55" s="40">
        <f t="shared" si="2"/>
        <v>3</v>
      </c>
      <c r="N55" s="40">
        <v>35</v>
      </c>
    </row>
    <row r="56" spans="1:23" x14ac:dyDescent="0.25">
      <c r="A56" s="40">
        <v>11932</v>
      </c>
      <c r="B56" s="40" t="s">
        <v>130</v>
      </c>
      <c r="C56" s="40">
        <v>9339</v>
      </c>
      <c r="D56" s="40" t="s">
        <v>307</v>
      </c>
      <c r="E56" s="40" t="s">
        <v>135</v>
      </c>
      <c r="F56" s="40" t="s">
        <v>56</v>
      </c>
      <c r="G56" s="40">
        <v>1</v>
      </c>
      <c r="H56" s="40"/>
      <c r="I56" s="40">
        <v>1</v>
      </c>
      <c r="J56" s="40"/>
      <c r="K56" s="40">
        <v>1</v>
      </c>
      <c r="L56" s="40"/>
      <c r="M56" s="40">
        <f t="shared" si="2"/>
        <v>3</v>
      </c>
      <c r="N56" s="40">
        <v>36</v>
      </c>
    </row>
    <row r="57" spans="1:23" s="17" customFormat="1" x14ac:dyDescent="0.25">
      <c r="A57" s="26">
        <v>11932</v>
      </c>
      <c r="B57" s="26" t="s">
        <v>130</v>
      </c>
      <c r="C57" s="26">
        <v>4141</v>
      </c>
      <c r="D57" s="26" t="s">
        <v>308</v>
      </c>
      <c r="E57" s="40" t="s">
        <v>136</v>
      </c>
      <c r="F57" s="40" t="s">
        <v>53</v>
      </c>
      <c r="G57" s="26"/>
      <c r="H57" s="26">
        <v>1</v>
      </c>
      <c r="I57" s="26"/>
      <c r="J57" s="26">
        <v>1</v>
      </c>
      <c r="K57" s="26"/>
      <c r="L57" s="26">
        <v>1</v>
      </c>
      <c r="M57" s="26">
        <f t="shared" si="2"/>
        <v>3</v>
      </c>
      <c r="N57" s="26">
        <v>12</v>
      </c>
    </row>
    <row r="58" spans="1:23" x14ac:dyDescent="0.25">
      <c r="A58" s="26">
        <v>11932</v>
      </c>
      <c r="B58" s="26" t="s">
        <v>130</v>
      </c>
      <c r="C58" s="26">
        <v>3815</v>
      </c>
      <c r="D58" s="26" t="s">
        <v>309</v>
      </c>
      <c r="E58" s="40" t="s">
        <v>137</v>
      </c>
      <c r="F58" s="40" t="s">
        <v>138</v>
      </c>
      <c r="G58" s="26"/>
      <c r="H58" s="26">
        <v>1</v>
      </c>
      <c r="I58" s="26"/>
      <c r="J58" s="26">
        <v>1</v>
      </c>
      <c r="K58" s="26"/>
      <c r="L58" s="26"/>
      <c r="M58" s="26">
        <f t="shared" si="2"/>
        <v>2</v>
      </c>
      <c r="N58" s="26">
        <v>9</v>
      </c>
    </row>
    <row r="59" spans="1:23" x14ac:dyDescent="0.25">
      <c r="A59" s="26">
        <v>11932</v>
      </c>
      <c r="B59" s="26" t="s">
        <v>130</v>
      </c>
      <c r="C59" s="26">
        <v>3616</v>
      </c>
      <c r="D59" s="26" t="s">
        <v>310</v>
      </c>
      <c r="E59" s="40" t="s">
        <v>139</v>
      </c>
      <c r="F59" s="40" t="s">
        <v>140</v>
      </c>
      <c r="G59" s="26"/>
      <c r="H59" s="26"/>
      <c r="I59" s="26"/>
      <c r="J59" s="26"/>
      <c r="K59" s="26"/>
      <c r="L59" s="26">
        <v>1</v>
      </c>
      <c r="M59" s="26">
        <f t="shared" si="2"/>
        <v>1</v>
      </c>
      <c r="N59" s="26">
        <v>7</v>
      </c>
    </row>
    <row r="60" spans="1:23" x14ac:dyDescent="0.25">
      <c r="A60" s="40">
        <v>11932</v>
      </c>
      <c r="B60" s="40" t="s">
        <v>130</v>
      </c>
      <c r="C60" s="40">
        <v>10946</v>
      </c>
      <c r="D60" s="40" t="s">
        <v>311</v>
      </c>
      <c r="E60" s="40" t="s">
        <v>141</v>
      </c>
      <c r="F60" s="40" t="s">
        <v>55</v>
      </c>
      <c r="G60" s="40"/>
      <c r="H60" s="40">
        <v>1</v>
      </c>
      <c r="I60" s="40"/>
      <c r="J60" s="40">
        <v>1</v>
      </c>
      <c r="K60" s="40"/>
      <c r="L60" s="40"/>
      <c r="M60" s="40">
        <f t="shared" si="2"/>
        <v>2</v>
      </c>
      <c r="N60" s="40">
        <v>33</v>
      </c>
    </row>
    <row r="61" spans="1:23" x14ac:dyDescent="0.25">
      <c r="A61" s="40">
        <v>11956</v>
      </c>
      <c r="B61" s="40" t="s">
        <v>142</v>
      </c>
      <c r="C61" s="40">
        <v>8971166</v>
      </c>
      <c r="D61" s="40" t="s">
        <v>312</v>
      </c>
      <c r="E61" s="40" t="s">
        <v>143</v>
      </c>
      <c r="F61" s="40" t="s">
        <v>144</v>
      </c>
      <c r="G61" s="40"/>
      <c r="H61" s="40">
        <v>1</v>
      </c>
      <c r="I61" s="40"/>
      <c r="J61" s="40">
        <v>1</v>
      </c>
      <c r="K61" s="40"/>
      <c r="L61" s="40"/>
      <c r="M61" s="40">
        <f t="shared" si="2"/>
        <v>2</v>
      </c>
      <c r="N61" s="40">
        <v>19</v>
      </c>
    </row>
    <row r="62" spans="1:23" x14ac:dyDescent="0.25">
      <c r="A62" s="40">
        <v>11956</v>
      </c>
      <c r="B62" s="40" t="s">
        <v>142</v>
      </c>
      <c r="C62" s="40">
        <v>8971162</v>
      </c>
      <c r="D62" s="40" t="s">
        <v>313</v>
      </c>
      <c r="E62" s="40" t="s">
        <v>145</v>
      </c>
      <c r="F62" s="40" t="s">
        <v>146</v>
      </c>
      <c r="G62" s="40">
        <v>1</v>
      </c>
      <c r="H62" s="40"/>
      <c r="I62" s="40">
        <v>1</v>
      </c>
      <c r="J62" s="40"/>
      <c r="K62" s="40">
        <v>1</v>
      </c>
      <c r="L62" s="40"/>
      <c r="M62" s="40">
        <f t="shared" si="2"/>
        <v>3</v>
      </c>
      <c r="N62" s="40">
        <v>19</v>
      </c>
    </row>
    <row r="63" spans="1:23" x14ac:dyDescent="0.25">
      <c r="A63" s="40">
        <v>11956</v>
      </c>
      <c r="B63" s="40" t="s">
        <v>142</v>
      </c>
      <c r="C63" s="40">
        <v>9586</v>
      </c>
      <c r="D63" s="40" t="s">
        <v>314</v>
      </c>
      <c r="E63" s="40" t="s">
        <v>147</v>
      </c>
      <c r="F63" s="40" t="s">
        <v>148</v>
      </c>
      <c r="G63" s="40"/>
      <c r="H63" s="40">
        <v>1</v>
      </c>
      <c r="I63" s="40"/>
      <c r="J63" s="40">
        <v>1</v>
      </c>
      <c r="K63" s="40"/>
      <c r="L63" s="40"/>
      <c r="M63" s="40">
        <f t="shared" si="2"/>
        <v>2</v>
      </c>
      <c r="N63" s="40">
        <v>13</v>
      </c>
    </row>
    <row r="64" spans="1:23" x14ac:dyDescent="0.25">
      <c r="A64" s="40">
        <v>11956</v>
      </c>
      <c r="B64" s="40" t="s">
        <v>142</v>
      </c>
      <c r="C64" s="40">
        <v>11595</v>
      </c>
      <c r="D64" s="40" t="s">
        <v>315</v>
      </c>
      <c r="E64" s="40" t="s">
        <v>149</v>
      </c>
      <c r="F64" s="40" t="s">
        <v>150</v>
      </c>
      <c r="G64" s="40">
        <v>1</v>
      </c>
      <c r="H64" s="40"/>
      <c r="I64" s="40">
        <v>1</v>
      </c>
      <c r="J64" s="40"/>
      <c r="K64" s="40">
        <v>1</v>
      </c>
      <c r="L64" s="40"/>
      <c r="M64" s="40">
        <f t="shared" si="2"/>
        <v>3</v>
      </c>
      <c r="N64" s="40">
        <v>34</v>
      </c>
    </row>
    <row r="65" spans="1:14" x14ac:dyDescent="0.25">
      <c r="A65" s="40">
        <v>11956</v>
      </c>
      <c r="B65" s="40" t="s">
        <v>142</v>
      </c>
      <c r="C65" s="40">
        <v>11622</v>
      </c>
      <c r="D65" s="40" t="s">
        <v>316</v>
      </c>
      <c r="E65" s="40" t="s">
        <v>151</v>
      </c>
      <c r="F65" s="40" t="s">
        <v>84</v>
      </c>
      <c r="G65" s="40">
        <v>1</v>
      </c>
      <c r="H65" s="40">
        <v>1</v>
      </c>
      <c r="I65" s="40">
        <v>1</v>
      </c>
      <c r="J65" s="40">
        <v>1</v>
      </c>
      <c r="K65" s="40">
        <v>1</v>
      </c>
      <c r="L65" s="40">
        <v>1</v>
      </c>
      <c r="M65" s="40">
        <f t="shared" si="2"/>
        <v>6</v>
      </c>
      <c r="N65" s="40">
        <v>36</v>
      </c>
    </row>
    <row r="66" spans="1:14" x14ac:dyDescent="0.25">
      <c r="A66" s="26">
        <v>12028</v>
      </c>
      <c r="B66" s="26" t="s">
        <v>152</v>
      </c>
      <c r="C66" s="26">
        <v>8975473</v>
      </c>
      <c r="D66" s="26" t="s">
        <v>317</v>
      </c>
      <c r="E66" s="40" t="s">
        <v>153</v>
      </c>
      <c r="F66" s="40" t="s">
        <v>119</v>
      </c>
      <c r="G66" s="26"/>
      <c r="H66" s="26"/>
      <c r="I66" s="26"/>
      <c r="J66" s="26"/>
      <c r="K66" s="26"/>
      <c r="L66" s="26">
        <v>1</v>
      </c>
      <c r="M66" s="26">
        <f t="shared" si="2"/>
        <v>1</v>
      </c>
      <c r="N66" s="26">
        <v>7</v>
      </c>
    </row>
    <row r="67" spans="1:14" x14ac:dyDescent="0.25">
      <c r="A67" s="40">
        <v>12028</v>
      </c>
      <c r="B67" s="40" t="s">
        <v>152</v>
      </c>
      <c r="C67" s="40">
        <v>1025</v>
      </c>
      <c r="D67" s="40" t="s">
        <v>318</v>
      </c>
      <c r="E67" s="40" t="s">
        <v>154</v>
      </c>
      <c r="F67" s="40" t="s">
        <v>109</v>
      </c>
      <c r="G67" s="40">
        <v>1</v>
      </c>
      <c r="H67" s="40"/>
      <c r="I67" s="40">
        <v>1</v>
      </c>
      <c r="J67" s="40"/>
      <c r="K67" s="40">
        <v>1</v>
      </c>
      <c r="L67" s="40"/>
      <c r="M67" s="40">
        <f t="shared" si="2"/>
        <v>3</v>
      </c>
      <c r="N67" s="40">
        <v>36</v>
      </c>
    </row>
    <row r="68" spans="1:14" x14ac:dyDescent="0.25">
      <c r="A68" s="40">
        <v>12028</v>
      </c>
      <c r="B68" s="40" t="s">
        <v>152</v>
      </c>
      <c r="C68" s="40">
        <v>1482</v>
      </c>
      <c r="D68" s="40" t="s">
        <v>319</v>
      </c>
      <c r="E68" s="40" t="s">
        <v>155</v>
      </c>
      <c r="F68" s="40" t="s">
        <v>109</v>
      </c>
      <c r="G68" s="40"/>
      <c r="H68" s="40">
        <v>1</v>
      </c>
      <c r="I68" s="40"/>
      <c r="J68" s="40">
        <v>1</v>
      </c>
      <c r="K68" s="40"/>
      <c r="L68" s="40"/>
      <c r="M68" s="40">
        <f t="shared" si="2"/>
        <v>2</v>
      </c>
      <c r="N68" s="40">
        <v>35</v>
      </c>
    </row>
    <row r="69" spans="1:14" x14ac:dyDescent="0.25">
      <c r="A69" s="40">
        <v>12028</v>
      </c>
      <c r="B69" s="40" t="s">
        <v>152</v>
      </c>
      <c r="C69" s="40">
        <v>8971167</v>
      </c>
      <c r="D69" s="40" t="s">
        <v>320</v>
      </c>
      <c r="E69" s="40" t="s">
        <v>156</v>
      </c>
      <c r="F69" s="40" t="s">
        <v>157</v>
      </c>
      <c r="G69" s="40"/>
      <c r="H69" s="40">
        <v>1</v>
      </c>
      <c r="I69" s="40"/>
      <c r="J69" s="40">
        <v>1</v>
      </c>
      <c r="K69" s="40"/>
      <c r="L69" s="40"/>
      <c r="M69" s="40">
        <f t="shared" si="2"/>
        <v>2</v>
      </c>
      <c r="N69" s="40">
        <v>19</v>
      </c>
    </row>
    <row r="70" spans="1:14" x14ac:dyDescent="0.25">
      <c r="A70" s="40">
        <v>12028</v>
      </c>
      <c r="B70" s="40" t="s">
        <v>152</v>
      </c>
      <c r="C70" s="40">
        <v>8900012</v>
      </c>
      <c r="D70" s="40" t="s">
        <v>321</v>
      </c>
      <c r="E70" s="40" t="s">
        <v>158</v>
      </c>
      <c r="F70" s="40" t="s">
        <v>159</v>
      </c>
      <c r="G70" s="40"/>
      <c r="H70" s="40">
        <v>1</v>
      </c>
      <c r="I70" s="40"/>
      <c r="J70" s="40">
        <v>1</v>
      </c>
      <c r="K70" s="40"/>
      <c r="L70" s="40"/>
      <c r="M70" s="40">
        <f t="shared" si="2"/>
        <v>2</v>
      </c>
      <c r="N70" s="40">
        <v>38</v>
      </c>
    </row>
    <row r="71" spans="1:14" x14ac:dyDescent="0.25">
      <c r="A71" s="40">
        <v>12028</v>
      </c>
      <c r="B71" s="40" t="s">
        <v>152</v>
      </c>
      <c r="C71" s="40">
        <v>1049</v>
      </c>
      <c r="D71" s="40" t="s">
        <v>322</v>
      </c>
      <c r="E71" s="40" t="s">
        <v>160</v>
      </c>
      <c r="F71" s="40" t="s">
        <v>161</v>
      </c>
      <c r="G71" s="40">
        <v>1</v>
      </c>
      <c r="H71" s="40"/>
      <c r="I71" s="40">
        <v>1</v>
      </c>
      <c r="J71" s="40"/>
      <c r="K71" s="40">
        <v>1</v>
      </c>
      <c r="L71" s="40"/>
      <c r="M71" s="40">
        <f t="shared" si="2"/>
        <v>3</v>
      </c>
      <c r="N71" s="40">
        <v>36</v>
      </c>
    </row>
    <row r="72" spans="1:14" x14ac:dyDescent="0.25">
      <c r="A72" s="26">
        <v>12028</v>
      </c>
      <c r="B72" s="26" t="s">
        <v>152</v>
      </c>
      <c r="C72" s="26">
        <v>4327</v>
      </c>
      <c r="D72" s="26" t="s">
        <v>323</v>
      </c>
      <c r="E72" s="40" t="s">
        <v>162</v>
      </c>
      <c r="F72" s="40" t="s">
        <v>163</v>
      </c>
      <c r="G72" s="26"/>
      <c r="H72" s="26"/>
      <c r="I72" s="26"/>
      <c r="J72" s="26"/>
      <c r="K72" s="26"/>
      <c r="L72" s="26">
        <v>1</v>
      </c>
      <c r="M72" s="26">
        <f t="shared" ref="M72:M103" si="3">SUM(G72:L72)</f>
        <v>1</v>
      </c>
      <c r="N72" s="26">
        <v>7</v>
      </c>
    </row>
    <row r="73" spans="1:14" x14ac:dyDescent="0.25">
      <c r="A73" s="40">
        <v>12028</v>
      </c>
      <c r="B73" s="40" t="s">
        <v>152</v>
      </c>
      <c r="C73" s="40">
        <v>9346</v>
      </c>
      <c r="D73" s="40" t="s">
        <v>324</v>
      </c>
      <c r="E73" s="40" t="s">
        <v>164</v>
      </c>
      <c r="F73" s="40" t="s">
        <v>165</v>
      </c>
      <c r="G73" s="40"/>
      <c r="H73" s="40">
        <v>1</v>
      </c>
      <c r="I73" s="40"/>
      <c r="J73" s="40">
        <v>1</v>
      </c>
      <c r="K73" s="40"/>
      <c r="L73" s="40"/>
      <c r="M73" s="40">
        <f t="shared" si="3"/>
        <v>2</v>
      </c>
      <c r="N73" s="40">
        <v>33</v>
      </c>
    </row>
    <row r="74" spans="1:14" x14ac:dyDescent="0.25">
      <c r="A74" s="40">
        <v>12028</v>
      </c>
      <c r="B74" s="40" t="s">
        <v>152</v>
      </c>
      <c r="C74" s="40">
        <v>11879</v>
      </c>
      <c r="D74" s="40" t="s">
        <v>325</v>
      </c>
      <c r="E74" s="40" t="s">
        <v>166</v>
      </c>
      <c r="F74" s="40" t="s">
        <v>109</v>
      </c>
      <c r="G74" s="40">
        <v>1</v>
      </c>
      <c r="H74" s="40"/>
      <c r="I74" s="40">
        <v>1</v>
      </c>
      <c r="J74" s="40"/>
      <c r="K74" s="40">
        <v>1</v>
      </c>
      <c r="L74" s="40"/>
      <c r="M74" s="40">
        <f t="shared" si="3"/>
        <v>3</v>
      </c>
      <c r="N74" s="40">
        <v>37</v>
      </c>
    </row>
    <row r="75" spans="1:14" x14ac:dyDescent="0.25">
      <c r="A75" s="40">
        <v>12028</v>
      </c>
      <c r="B75" s="40" t="s">
        <v>152</v>
      </c>
      <c r="C75" s="40">
        <v>10977</v>
      </c>
      <c r="D75" s="40" t="s">
        <v>326</v>
      </c>
      <c r="E75" s="40" t="s">
        <v>167</v>
      </c>
      <c r="F75" s="40" t="s">
        <v>168</v>
      </c>
      <c r="G75" s="40">
        <v>1</v>
      </c>
      <c r="H75" s="40"/>
      <c r="I75" s="40">
        <v>1</v>
      </c>
      <c r="J75" s="40"/>
      <c r="K75" s="40">
        <v>1</v>
      </c>
      <c r="L75" s="40"/>
      <c r="M75" s="40">
        <f t="shared" si="3"/>
        <v>3</v>
      </c>
      <c r="N75" s="40">
        <v>33</v>
      </c>
    </row>
    <row r="76" spans="1:14" x14ac:dyDescent="0.25">
      <c r="A76" s="26">
        <v>12027</v>
      </c>
      <c r="B76" s="26" t="s">
        <v>404</v>
      </c>
      <c r="C76" s="26">
        <v>10722</v>
      </c>
      <c r="D76" s="26" t="s">
        <v>327</v>
      </c>
      <c r="E76" s="40" t="s">
        <v>170</v>
      </c>
      <c r="F76" s="40" t="s">
        <v>171</v>
      </c>
      <c r="G76" s="26"/>
      <c r="H76" s="26">
        <v>1</v>
      </c>
      <c r="I76" s="26"/>
      <c r="J76" s="26">
        <v>1</v>
      </c>
      <c r="K76" s="26"/>
      <c r="L76" s="26"/>
      <c r="M76" s="26">
        <f t="shared" si="3"/>
        <v>2</v>
      </c>
      <c r="N76" s="26">
        <v>7</v>
      </c>
    </row>
    <row r="77" spans="1:14" x14ac:dyDescent="0.25">
      <c r="A77" s="40">
        <v>12027</v>
      </c>
      <c r="B77" s="40" t="s">
        <v>404</v>
      </c>
      <c r="C77" s="40">
        <v>9347</v>
      </c>
      <c r="D77" s="40" t="s">
        <v>328</v>
      </c>
      <c r="E77" s="40" t="s">
        <v>172</v>
      </c>
      <c r="F77" s="40" t="s">
        <v>173</v>
      </c>
      <c r="G77" s="40">
        <v>1</v>
      </c>
      <c r="H77" s="40"/>
      <c r="I77" s="40">
        <v>1</v>
      </c>
      <c r="J77" s="40"/>
      <c r="K77" s="40">
        <v>1</v>
      </c>
      <c r="L77" s="40"/>
      <c r="M77" s="40">
        <f t="shared" si="3"/>
        <v>3</v>
      </c>
      <c r="N77" s="40">
        <v>35</v>
      </c>
    </row>
    <row r="78" spans="1:14" x14ac:dyDescent="0.25">
      <c r="A78" s="40">
        <v>12027</v>
      </c>
      <c r="B78" s="40" t="s">
        <v>404</v>
      </c>
      <c r="C78" s="40">
        <v>3486</v>
      </c>
      <c r="D78" s="40" t="s">
        <v>329</v>
      </c>
      <c r="E78" s="40" t="s">
        <v>174</v>
      </c>
      <c r="F78" s="40" t="s">
        <v>175</v>
      </c>
      <c r="G78" s="40">
        <v>1</v>
      </c>
      <c r="H78" s="40"/>
      <c r="I78" s="40">
        <v>1</v>
      </c>
      <c r="J78" s="40"/>
      <c r="K78" s="40">
        <v>1</v>
      </c>
      <c r="L78" s="40">
        <v>1</v>
      </c>
      <c r="M78" s="40">
        <f t="shared" si="3"/>
        <v>4</v>
      </c>
      <c r="N78" s="40">
        <v>34</v>
      </c>
    </row>
    <row r="79" spans="1:14" x14ac:dyDescent="0.25">
      <c r="A79" s="40">
        <v>12027</v>
      </c>
      <c r="B79" s="40" t="s">
        <v>404</v>
      </c>
      <c r="C79" s="40">
        <v>8900008</v>
      </c>
      <c r="D79" s="40" t="s">
        <v>330</v>
      </c>
      <c r="E79" s="40" t="s">
        <v>176</v>
      </c>
      <c r="F79" s="40" t="s">
        <v>177</v>
      </c>
      <c r="G79" s="40">
        <v>1</v>
      </c>
      <c r="H79" s="40"/>
      <c r="I79" s="40">
        <v>1</v>
      </c>
      <c r="J79" s="40"/>
      <c r="K79" s="40">
        <v>1</v>
      </c>
      <c r="L79" s="40"/>
      <c r="M79" s="40">
        <f t="shared" si="3"/>
        <v>3</v>
      </c>
      <c r="N79" s="40">
        <v>38</v>
      </c>
    </row>
    <row r="80" spans="1:14" x14ac:dyDescent="0.25">
      <c r="A80" s="40">
        <v>12027</v>
      </c>
      <c r="B80" s="40" t="s">
        <v>404</v>
      </c>
      <c r="C80" s="40">
        <v>11898</v>
      </c>
      <c r="D80" s="40" t="s">
        <v>331</v>
      </c>
      <c r="E80" s="40" t="s">
        <v>178</v>
      </c>
      <c r="F80" s="40" t="s">
        <v>113</v>
      </c>
      <c r="G80" s="40"/>
      <c r="H80" s="40">
        <v>1</v>
      </c>
      <c r="I80" s="40"/>
      <c r="J80" s="40">
        <v>1</v>
      </c>
      <c r="K80" s="40"/>
      <c r="L80" s="40"/>
      <c r="M80" s="40">
        <f t="shared" si="3"/>
        <v>2</v>
      </c>
      <c r="N80" s="40">
        <v>34</v>
      </c>
    </row>
    <row r="81" spans="1:23" x14ac:dyDescent="0.25">
      <c r="A81" s="40">
        <v>12027</v>
      </c>
      <c r="B81" s="40" t="s">
        <v>404</v>
      </c>
      <c r="C81" s="40">
        <v>11896</v>
      </c>
      <c r="D81" s="40" t="s">
        <v>332</v>
      </c>
      <c r="E81" s="40" t="s">
        <v>179</v>
      </c>
      <c r="F81" s="40" t="s">
        <v>180</v>
      </c>
      <c r="G81" s="40"/>
      <c r="H81" s="40">
        <v>1</v>
      </c>
      <c r="I81" s="40"/>
      <c r="J81" s="40">
        <v>1</v>
      </c>
      <c r="K81" s="40"/>
      <c r="L81" s="40"/>
      <c r="M81" s="40">
        <f t="shared" si="3"/>
        <v>2</v>
      </c>
      <c r="N81" s="40">
        <v>34</v>
      </c>
    </row>
    <row r="82" spans="1:23" x14ac:dyDescent="0.25">
      <c r="A82" s="40">
        <v>12027</v>
      </c>
      <c r="B82" s="40" t="s">
        <v>404</v>
      </c>
      <c r="C82" s="40">
        <v>11946</v>
      </c>
      <c r="D82" s="40" t="s">
        <v>333</v>
      </c>
      <c r="E82" s="40" t="s">
        <v>181</v>
      </c>
      <c r="F82" s="40" t="s">
        <v>182</v>
      </c>
      <c r="G82" s="40">
        <v>1</v>
      </c>
      <c r="H82" s="40"/>
      <c r="I82" s="40">
        <v>1</v>
      </c>
      <c r="J82" s="40"/>
      <c r="K82" s="40">
        <v>1</v>
      </c>
      <c r="L82" s="40">
        <v>1</v>
      </c>
      <c r="M82" s="40">
        <f t="shared" si="3"/>
        <v>4</v>
      </c>
      <c r="N82" s="40">
        <v>34</v>
      </c>
    </row>
    <row r="83" spans="1:23" x14ac:dyDescent="0.25">
      <c r="A83" s="40">
        <v>12027</v>
      </c>
      <c r="B83" s="40" t="s">
        <v>404</v>
      </c>
      <c r="C83" s="40">
        <v>11895</v>
      </c>
      <c r="D83" s="40" t="s">
        <v>334</v>
      </c>
      <c r="E83" s="40" t="s">
        <v>183</v>
      </c>
      <c r="F83" s="40" t="s">
        <v>184</v>
      </c>
      <c r="G83" s="40"/>
      <c r="H83" s="40">
        <v>1</v>
      </c>
      <c r="I83" s="40"/>
      <c r="J83" s="40">
        <v>1</v>
      </c>
      <c r="K83" s="40"/>
      <c r="L83" s="40"/>
      <c r="M83" s="40">
        <f t="shared" si="3"/>
        <v>2</v>
      </c>
      <c r="N83" s="40">
        <v>34</v>
      </c>
    </row>
    <row r="84" spans="1:23" s="41" customFormat="1" x14ac:dyDescent="0.25">
      <c r="A84" s="26">
        <v>12079</v>
      </c>
      <c r="B84" s="26" t="s">
        <v>186</v>
      </c>
      <c r="C84" s="26">
        <v>4394</v>
      </c>
      <c r="D84" s="26" t="s">
        <v>335</v>
      </c>
      <c r="E84" s="40" t="s">
        <v>187</v>
      </c>
      <c r="F84" s="40" t="s">
        <v>40</v>
      </c>
      <c r="G84" s="26">
        <v>1</v>
      </c>
      <c r="H84" s="26"/>
      <c r="I84" s="26"/>
      <c r="J84" s="26"/>
      <c r="K84" s="26">
        <v>1</v>
      </c>
      <c r="L84" s="26"/>
      <c r="M84" s="26">
        <f t="shared" si="3"/>
        <v>2</v>
      </c>
      <c r="N84" s="26">
        <v>7</v>
      </c>
      <c r="O84" s="39"/>
      <c r="P84" s="39"/>
      <c r="Q84" s="39"/>
      <c r="R84" s="39"/>
      <c r="S84" s="39"/>
      <c r="T84" s="39"/>
      <c r="U84" s="39"/>
      <c r="V84" s="39"/>
      <c r="W84" s="39"/>
    </row>
    <row r="85" spans="1:23" s="41" customFormat="1" x14ac:dyDescent="0.25">
      <c r="A85" s="26">
        <v>12079</v>
      </c>
      <c r="B85" s="26" t="s">
        <v>186</v>
      </c>
      <c r="C85" s="26">
        <v>179</v>
      </c>
      <c r="D85" s="26" t="s">
        <v>336</v>
      </c>
      <c r="E85" s="40" t="s">
        <v>188</v>
      </c>
      <c r="F85" s="40" t="s">
        <v>189</v>
      </c>
      <c r="G85" s="26">
        <v>1</v>
      </c>
      <c r="H85" s="26"/>
      <c r="I85" s="26">
        <v>1</v>
      </c>
      <c r="J85" s="26"/>
      <c r="K85" s="26"/>
      <c r="L85" s="26"/>
      <c r="M85" s="26">
        <f t="shared" si="3"/>
        <v>2</v>
      </c>
      <c r="N85" s="26">
        <v>7</v>
      </c>
      <c r="O85" s="39"/>
      <c r="P85" s="39"/>
      <c r="Q85" s="39"/>
      <c r="R85" s="39"/>
      <c r="S85" s="39"/>
      <c r="T85" s="39"/>
      <c r="U85" s="39"/>
      <c r="V85" s="39"/>
      <c r="W85" s="39"/>
    </row>
    <row r="86" spans="1:23" x14ac:dyDescent="0.25">
      <c r="A86" s="40">
        <v>12079</v>
      </c>
      <c r="B86" s="40" t="s">
        <v>403</v>
      </c>
      <c r="C86" s="40">
        <v>8900006</v>
      </c>
      <c r="D86" s="40" t="s">
        <v>337</v>
      </c>
      <c r="E86" s="40" t="s">
        <v>190</v>
      </c>
      <c r="F86" s="40" t="s">
        <v>191</v>
      </c>
      <c r="G86" s="40">
        <v>1</v>
      </c>
      <c r="H86" s="40"/>
      <c r="I86" s="40">
        <v>1</v>
      </c>
      <c r="J86" s="40"/>
      <c r="K86" s="40">
        <v>1</v>
      </c>
      <c r="L86" s="40"/>
      <c r="M86" s="40">
        <f t="shared" si="3"/>
        <v>3</v>
      </c>
      <c r="N86" s="40">
        <v>38</v>
      </c>
    </row>
    <row r="87" spans="1:23" x14ac:dyDescent="0.25">
      <c r="A87" s="40">
        <v>12079</v>
      </c>
      <c r="B87" s="40" t="s">
        <v>403</v>
      </c>
      <c r="C87" s="40">
        <v>972</v>
      </c>
      <c r="D87" s="40" t="s">
        <v>338</v>
      </c>
      <c r="E87" s="40" t="s">
        <v>192</v>
      </c>
      <c r="F87" s="40" t="s">
        <v>191</v>
      </c>
      <c r="G87" s="40">
        <v>1</v>
      </c>
      <c r="H87" s="40"/>
      <c r="I87" s="40">
        <v>1</v>
      </c>
      <c r="J87" s="40"/>
      <c r="K87" s="40">
        <v>1</v>
      </c>
      <c r="L87" s="40"/>
      <c r="M87" s="40">
        <f t="shared" si="3"/>
        <v>3</v>
      </c>
      <c r="N87" s="40">
        <v>33</v>
      </c>
    </row>
    <row r="88" spans="1:23" x14ac:dyDescent="0.25">
      <c r="A88" s="26">
        <v>12079</v>
      </c>
      <c r="B88" s="26" t="s">
        <v>403</v>
      </c>
      <c r="C88" s="26">
        <v>4271</v>
      </c>
      <c r="D88" s="26" t="s">
        <v>339</v>
      </c>
      <c r="E88" s="40" t="s">
        <v>193</v>
      </c>
      <c r="F88" s="40" t="s">
        <v>191</v>
      </c>
      <c r="G88" s="26"/>
      <c r="H88" s="26">
        <v>1</v>
      </c>
      <c r="I88" s="26"/>
      <c r="J88" s="26"/>
      <c r="K88" s="26"/>
      <c r="L88" s="26"/>
      <c r="M88" s="26">
        <f t="shared" si="3"/>
        <v>1</v>
      </c>
      <c r="N88" s="26">
        <v>11</v>
      </c>
    </row>
    <row r="89" spans="1:23" x14ac:dyDescent="0.25">
      <c r="A89" s="40">
        <v>12079</v>
      </c>
      <c r="B89" s="40" t="s">
        <v>403</v>
      </c>
      <c r="C89" s="40">
        <v>224</v>
      </c>
      <c r="D89" s="40" t="s">
        <v>340</v>
      </c>
      <c r="E89" s="40" t="s">
        <v>194</v>
      </c>
      <c r="F89" s="40" t="s">
        <v>191</v>
      </c>
      <c r="G89" s="40">
        <v>1</v>
      </c>
      <c r="H89" s="40"/>
      <c r="I89" s="40">
        <v>1</v>
      </c>
      <c r="J89" s="40"/>
      <c r="K89" s="40">
        <v>1</v>
      </c>
      <c r="L89" s="40"/>
      <c r="M89" s="40">
        <f t="shared" si="3"/>
        <v>3</v>
      </c>
      <c r="N89" s="40">
        <v>34</v>
      </c>
    </row>
    <row r="90" spans="1:23" x14ac:dyDescent="0.25">
      <c r="A90" s="26">
        <v>12079</v>
      </c>
      <c r="B90" s="26" t="s">
        <v>403</v>
      </c>
      <c r="C90" s="26">
        <v>3533</v>
      </c>
      <c r="D90" s="26" t="s">
        <v>341</v>
      </c>
      <c r="E90" s="40" t="s">
        <v>195</v>
      </c>
      <c r="F90" s="40" t="s">
        <v>196</v>
      </c>
      <c r="G90" s="26"/>
      <c r="H90" s="26"/>
      <c r="I90" s="26">
        <v>1</v>
      </c>
      <c r="J90" s="26"/>
      <c r="K90" s="26"/>
      <c r="L90" s="26"/>
      <c r="M90" s="26">
        <f t="shared" si="3"/>
        <v>1</v>
      </c>
      <c r="N90" s="26">
        <v>12</v>
      </c>
    </row>
    <row r="91" spans="1:23" s="41" customFormat="1" x14ac:dyDescent="0.25">
      <c r="A91" s="26">
        <v>12079</v>
      </c>
      <c r="B91" s="26" t="s">
        <v>403</v>
      </c>
      <c r="C91" s="26">
        <v>233</v>
      </c>
      <c r="D91" s="26" t="s">
        <v>342</v>
      </c>
      <c r="E91" s="40" t="s">
        <v>197</v>
      </c>
      <c r="F91" s="40" t="s">
        <v>198</v>
      </c>
      <c r="G91" s="26"/>
      <c r="H91" s="26">
        <v>1</v>
      </c>
      <c r="I91" s="26"/>
      <c r="J91" s="26">
        <v>1</v>
      </c>
      <c r="K91" s="26"/>
      <c r="L91" s="26"/>
      <c r="M91" s="26">
        <f t="shared" si="3"/>
        <v>2</v>
      </c>
      <c r="N91" s="26">
        <v>7</v>
      </c>
      <c r="O91" s="39"/>
      <c r="P91" s="39"/>
      <c r="Q91" s="39"/>
      <c r="R91" s="39"/>
      <c r="S91" s="39"/>
      <c r="T91" s="39"/>
      <c r="U91" s="39"/>
      <c r="V91" s="39"/>
      <c r="W91" s="39"/>
    </row>
    <row r="92" spans="1:23" x14ac:dyDescent="0.25">
      <c r="A92" s="26">
        <v>12079</v>
      </c>
      <c r="B92" s="26" t="s">
        <v>403</v>
      </c>
      <c r="C92" s="26">
        <v>4284</v>
      </c>
      <c r="D92" s="26" t="s">
        <v>343</v>
      </c>
      <c r="E92" s="40" t="s">
        <v>199</v>
      </c>
      <c r="F92" s="40" t="s">
        <v>198</v>
      </c>
      <c r="G92" s="26"/>
      <c r="H92" s="26"/>
      <c r="I92" s="26"/>
      <c r="J92" s="26">
        <v>1</v>
      </c>
      <c r="K92" s="26"/>
      <c r="L92" s="26"/>
      <c r="M92" s="26">
        <f t="shared" si="3"/>
        <v>1</v>
      </c>
      <c r="N92" s="26">
        <v>11</v>
      </c>
    </row>
    <row r="93" spans="1:23" x14ac:dyDescent="0.25">
      <c r="A93" s="40">
        <v>12079</v>
      </c>
      <c r="B93" s="40" t="s">
        <v>403</v>
      </c>
      <c r="C93" s="40">
        <v>4522</v>
      </c>
      <c r="D93" s="40" t="s">
        <v>344</v>
      </c>
      <c r="E93" s="40" t="s">
        <v>200</v>
      </c>
      <c r="F93" s="40" t="s">
        <v>201</v>
      </c>
      <c r="G93" s="40"/>
      <c r="H93" s="40">
        <v>1</v>
      </c>
      <c r="I93" s="40"/>
      <c r="J93" s="40">
        <v>1</v>
      </c>
      <c r="K93" s="40"/>
      <c r="L93" s="40">
        <v>1</v>
      </c>
      <c r="M93" s="40">
        <f t="shared" si="3"/>
        <v>3</v>
      </c>
      <c r="N93" s="40">
        <v>34</v>
      </c>
    </row>
    <row r="94" spans="1:23" x14ac:dyDescent="0.25">
      <c r="A94" s="40">
        <v>12079</v>
      </c>
      <c r="B94" s="40" t="s">
        <v>403</v>
      </c>
      <c r="C94" s="40">
        <v>8900007</v>
      </c>
      <c r="D94" s="40" t="s">
        <v>345</v>
      </c>
      <c r="E94" s="40" t="s">
        <v>202</v>
      </c>
      <c r="F94" s="40" t="s">
        <v>203</v>
      </c>
      <c r="G94" s="40"/>
      <c r="H94" s="40">
        <v>1</v>
      </c>
      <c r="I94" s="40"/>
      <c r="J94" s="40">
        <v>1</v>
      </c>
      <c r="K94" s="40"/>
      <c r="L94" s="40">
        <v>1</v>
      </c>
      <c r="M94" s="40">
        <f t="shared" si="3"/>
        <v>3</v>
      </c>
      <c r="N94" s="40">
        <v>38</v>
      </c>
    </row>
    <row r="95" spans="1:23" x14ac:dyDescent="0.25">
      <c r="A95" s="40">
        <v>12079</v>
      </c>
      <c r="B95" s="40" t="s">
        <v>403</v>
      </c>
      <c r="C95" s="40">
        <v>8900019</v>
      </c>
      <c r="D95" s="40" t="s">
        <v>346</v>
      </c>
      <c r="E95" s="40" t="s">
        <v>204</v>
      </c>
      <c r="F95" s="40" t="s">
        <v>161</v>
      </c>
      <c r="G95" s="40"/>
      <c r="H95" s="40">
        <v>1</v>
      </c>
      <c r="I95" s="40"/>
      <c r="J95" s="40">
        <v>1</v>
      </c>
      <c r="K95" s="40"/>
      <c r="L95" s="40"/>
      <c r="M95" s="40">
        <f t="shared" si="3"/>
        <v>2</v>
      </c>
      <c r="N95" s="40">
        <v>34</v>
      </c>
    </row>
    <row r="96" spans="1:23" x14ac:dyDescent="0.25">
      <c r="A96" s="40">
        <v>12076</v>
      </c>
      <c r="B96" s="40" t="s">
        <v>205</v>
      </c>
      <c r="C96" s="40">
        <v>838</v>
      </c>
      <c r="D96" s="40" t="s">
        <v>347</v>
      </c>
      <c r="E96" s="40" t="s">
        <v>206</v>
      </c>
      <c r="F96" s="40" t="s">
        <v>49</v>
      </c>
      <c r="G96" s="40"/>
      <c r="H96" s="40">
        <v>1</v>
      </c>
      <c r="I96" s="40"/>
      <c r="J96" s="40">
        <v>1</v>
      </c>
      <c r="K96" s="40"/>
      <c r="L96" s="40"/>
      <c r="M96" s="40">
        <f t="shared" si="3"/>
        <v>2</v>
      </c>
      <c r="N96" s="40">
        <v>23</v>
      </c>
    </row>
    <row r="97" spans="1:14" x14ac:dyDescent="0.25">
      <c r="A97" s="40">
        <v>12076</v>
      </c>
      <c r="B97" s="40" t="s">
        <v>205</v>
      </c>
      <c r="C97" s="40">
        <v>3784</v>
      </c>
      <c r="D97" s="40" t="s">
        <v>348</v>
      </c>
      <c r="E97" s="40" t="s">
        <v>207</v>
      </c>
      <c r="F97" s="40" t="s">
        <v>208</v>
      </c>
      <c r="G97" s="40"/>
      <c r="H97" s="40"/>
      <c r="I97" s="40"/>
      <c r="J97" s="40">
        <v>1</v>
      </c>
      <c r="K97" s="40"/>
      <c r="L97" s="40"/>
      <c r="M97" s="40">
        <f t="shared" si="3"/>
        <v>1</v>
      </c>
      <c r="N97" s="40">
        <v>6</v>
      </c>
    </row>
    <row r="98" spans="1:14" x14ac:dyDescent="0.25">
      <c r="A98" s="40">
        <v>12076</v>
      </c>
      <c r="B98" s="40" t="s">
        <v>205</v>
      </c>
      <c r="C98" s="40">
        <v>9341</v>
      </c>
      <c r="D98" s="40" t="s">
        <v>349</v>
      </c>
      <c r="E98" s="40" t="s">
        <v>209</v>
      </c>
      <c r="F98" s="40" t="s">
        <v>208</v>
      </c>
      <c r="G98" s="40">
        <v>1</v>
      </c>
      <c r="H98" s="40"/>
      <c r="I98" s="40">
        <v>1</v>
      </c>
      <c r="J98" s="40"/>
      <c r="K98" s="40">
        <v>1</v>
      </c>
      <c r="L98" s="40"/>
      <c r="M98" s="40">
        <f t="shared" si="3"/>
        <v>3</v>
      </c>
      <c r="N98" s="40">
        <v>32</v>
      </c>
    </row>
    <row r="99" spans="1:14" x14ac:dyDescent="0.25">
      <c r="A99" s="26">
        <v>12076</v>
      </c>
      <c r="B99" s="26" t="s">
        <v>205</v>
      </c>
      <c r="C99" s="26">
        <v>4111</v>
      </c>
      <c r="D99" s="26" t="s">
        <v>350</v>
      </c>
      <c r="E99" s="40" t="s">
        <v>210</v>
      </c>
      <c r="F99" s="40" t="s">
        <v>208</v>
      </c>
      <c r="G99" s="26"/>
      <c r="H99" s="26">
        <v>1</v>
      </c>
      <c r="I99" s="26"/>
      <c r="J99" s="26"/>
      <c r="K99" s="26">
        <v>1</v>
      </c>
      <c r="L99" s="26"/>
      <c r="M99" s="26">
        <f t="shared" si="3"/>
        <v>2</v>
      </c>
      <c r="N99" s="26">
        <v>9</v>
      </c>
    </row>
    <row r="100" spans="1:14" x14ac:dyDescent="0.25">
      <c r="A100" s="26">
        <v>12076</v>
      </c>
      <c r="B100" s="26" t="s">
        <v>205</v>
      </c>
      <c r="C100" s="26">
        <v>3508</v>
      </c>
      <c r="D100" s="26" t="s">
        <v>351</v>
      </c>
      <c r="E100" s="40" t="s">
        <v>211</v>
      </c>
      <c r="F100" s="40" t="s">
        <v>208</v>
      </c>
      <c r="G100" s="26">
        <v>1</v>
      </c>
      <c r="H100" s="26"/>
      <c r="I100" s="26">
        <v>1</v>
      </c>
      <c r="J100" s="26"/>
      <c r="K100" s="26"/>
      <c r="L100" s="26"/>
      <c r="M100" s="26">
        <f t="shared" si="3"/>
        <v>2</v>
      </c>
      <c r="N100" s="26">
        <v>9</v>
      </c>
    </row>
    <row r="101" spans="1:14" x14ac:dyDescent="0.25">
      <c r="A101" s="40">
        <v>12076</v>
      </c>
      <c r="B101" s="40" t="s">
        <v>205</v>
      </c>
      <c r="C101" s="40">
        <v>2309</v>
      </c>
      <c r="D101" s="40" t="s">
        <v>352</v>
      </c>
      <c r="E101" s="40" t="s">
        <v>212</v>
      </c>
      <c r="F101" s="40" t="s">
        <v>208</v>
      </c>
      <c r="G101" s="40"/>
      <c r="H101" s="40">
        <v>1</v>
      </c>
      <c r="I101" s="40"/>
      <c r="J101" s="40">
        <v>1</v>
      </c>
      <c r="K101" s="40"/>
      <c r="L101" s="40"/>
      <c r="M101" s="40">
        <f t="shared" si="3"/>
        <v>2</v>
      </c>
      <c r="N101" s="40">
        <v>35</v>
      </c>
    </row>
    <row r="102" spans="1:14" x14ac:dyDescent="0.25">
      <c r="A102" s="40">
        <v>12076</v>
      </c>
      <c r="B102" s="40" t="s">
        <v>205</v>
      </c>
      <c r="C102" s="40">
        <v>8900009</v>
      </c>
      <c r="D102" s="40" t="s">
        <v>353</v>
      </c>
      <c r="E102" s="40" t="s">
        <v>213</v>
      </c>
      <c r="F102" s="40" t="s">
        <v>51</v>
      </c>
      <c r="G102" s="40">
        <v>1</v>
      </c>
      <c r="H102" s="40"/>
      <c r="I102" s="40">
        <v>1</v>
      </c>
      <c r="J102" s="40"/>
      <c r="K102" s="40">
        <v>1</v>
      </c>
      <c r="L102" s="40">
        <v>1</v>
      </c>
      <c r="M102" s="40">
        <f t="shared" si="3"/>
        <v>4</v>
      </c>
      <c r="N102" s="40">
        <v>38</v>
      </c>
    </row>
    <row r="103" spans="1:14" x14ac:dyDescent="0.25">
      <c r="A103" s="40">
        <v>12076</v>
      </c>
      <c r="B103" s="40" t="s">
        <v>205</v>
      </c>
      <c r="C103" s="40">
        <v>942</v>
      </c>
      <c r="D103" s="40" t="s">
        <v>354</v>
      </c>
      <c r="E103" s="40" t="s">
        <v>214</v>
      </c>
      <c r="F103" s="40" t="s">
        <v>59</v>
      </c>
      <c r="G103" s="40">
        <v>1</v>
      </c>
      <c r="H103" s="40"/>
      <c r="I103" s="40">
        <v>1</v>
      </c>
      <c r="J103" s="40"/>
      <c r="K103" s="40">
        <v>1</v>
      </c>
      <c r="L103" s="40">
        <v>1</v>
      </c>
      <c r="M103" s="40">
        <f t="shared" si="3"/>
        <v>4</v>
      </c>
      <c r="N103" s="40">
        <v>36</v>
      </c>
    </row>
    <row r="104" spans="1:14" x14ac:dyDescent="0.25">
      <c r="A104" s="40">
        <v>12076</v>
      </c>
      <c r="B104" s="40" t="s">
        <v>205</v>
      </c>
      <c r="C104" s="40">
        <v>11775</v>
      </c>
      <c r="D104" s="40" t="s">
        <v>355</v>
      </c>
      <c r="E104" s="40" t="s">
        <v>215</v>
      </c>
      <c r="F104" s="40" t="s">
        <v>60</v>
      </c>
      <c r="G104" s="40"/>
      <c r="H104" s="40">
        <v>1</v>
      </c>
      <c r="I104" s="40"/>
      <c r="J104" s="40">
        <v>1</v>
      </c>
      <c r="K104" s="40"/>
      <c r="L104" s="40"/>
      <c r="M104" s="40">
        <f t="shared" ref="M104:M134" si="4">SUM(G104:L104)</f>
        <v>2</v>
      </c>
      <c r="N104" s="40">
        <v>37</v>
      </c>
    </row>
    <row r="105" spans="1:14" x14ac:dyDescent="0.25">
      <c r="A105" s="40">
        <v>12080</v>
      </c>
      <c r="B105" s="40" t="s">
        <v>216</v>
      </c>
      <c r="C105" s="40">
        <v>1004</v>
      </c>
      <c r="D105" s="40" t="s">
        <v>356</v>
      </c>
      <c r="E105" s="40" t="s">
        <v>61</v>
      </c>
      <c r="F105" s="40" t="s">
        <v>62</v>
      </c>
      <c r="G105" s="40">
        <v>1</v>
      </c>
      <c r="H105" s="40"/>
      <c r="I105" s="40">
        <v>1</v>
      </c>
      <c r="J105" s="40"/>
      <c r="K105" s="40">
        <v>1</v>
      </c>
      <c r="L105" s="40"/>
      <c r="M105" s="40">
        <f t="shared" si="4"/>
        <v>3</v>
      </c>
      <c r="N105" s="40">
        <v>36</v>
      </c>
    </row>
    <row r="106" spans="1:14" x14ac:dyDescent="0.25">
      <c r="A106" s="40">
        <v>12081</v>
      </c>
      <c r="B106" s="40" t="s">
        <v>216</v>
      </c>
      <c r="C106" s="40">
        <v>172</v>
      </c>
      <c r="D106" s="40" t="s">
        <v>357</v>
      </c>
      <c r="E106" s="40" t="s">
        <v>63</v>
      </c>
      <c r="F106" s="40" t="s">
        <v>64</v>
      </c>
      <c r="G106" s="40">
        <v>1</v>
      </c>
      <c r="H106" s="40"/>
      <c r="I106" s="40">
        <v>1</v>
      </c>
      <c r="J106" s="40"/>
      <c r="K106" s="40">
        <v>1</v>
      </c>
      <c r="L106" s="40"/>
      <c r="M106" s="40">
        <f t="shared" si="4"/>
        <v>3</v>
      </c>
      <c r="N106" s="40">
        <v>34</v>
      </c>
    </row>
    <row r="107" spans="1:14" x14ac:dyDescent="0.25">
      <c r="A107" s="40">
        <v>12082</v>
      </c>
      <c r="B107" s="40" t="s">
        <v>216</v>
      </c>
      <c r="C107" s="40">
        <v>2351</v>
      </c>
      <c r="D107" s="40" t="s">
        <v>358</v>
      </c>
      <c r="E107" s="40" t="s">
        <v>65</v>
      </c>
      <c r="F107" s="40" t="s">
        <v>66</v>
      </c>
      <c r="G107" s="40"/>
      <c r="H107" s="40">
        <v>1</v>
      </c>
      <c r="I107" s="40"/>
      <c r="J107" s="40">
        <v>1</v>
      </c>
      <c r="K107" s="40"/>
      <c r="L107" s="40"/>
      <c r="M107" s="40">
        <f t="shared" si="4"/>
        <v>2</v>
      </c>
      <c r="N107" s="40">
        <v>35</v>
      </c>
    </row>
    <row r="108" spans="1:14" x14ac:dyDescent="0.25">
      <c r="A108" s="26">
        <v>12083</v>
      </c>
      <c r="B108" s="26" t="s">
        <v>216</v>
      </c>
      <c r="C108" s="26">
        <v>8975472</v>
      </c>
      <c r="D108" s="26" t="s">
        <v>359</v>
      </c>
      <c r="E108" s="40" t="s">
        <v>67</v>
      </c>
      <c r="F108" s="40" t="s">
        <v>55</v>
      </c>
      <c r="G108" s="26"/>
      <c r="H108" s="26">
        <v>1</v>
      </c>
      <c r="I108" s="26"/>
      <c r="J108" s="26">
        <v>1</v>
      </c>
      <c r="K108" s="26"/>
      <c r="L108" s="26"/>
      <c r="M108" s="26">
        <f t="shared" si="4"/>
        <v>2</v>
      </c>
      <c r="N108" s="26">
        <v>7</v>
      </c>
    </row>
    <row r="109" spans="1:14" x14ac:dyDescent="0.25">
      <c r="A109" s="40">
        <v>12084</v>
      </c>
      <c r="B109" s="40" t="s">
        <v>216</v>
      </c>
      <c r="C109" s="40">
        <v>10758</v>
      </c>
      <c r="D109" s="40" t="s">
        <v>360</v>
      </c>
      <c r="E109" s="40" t="s">
        <v>68</v>
      </c>
      <c r="F109" s="40" t="s">
        <v>69</v>
      </c>
      <c r="G109" s="40">
        <v>1</v>
      </c>
      <c r="H109" s="40">
        <v>1</v>
      </c>
      <c r="I109" s="40">
        <v>1</v>
      </c>
      <c r="J109" s="40">
        <v>1</v>
      </c>
      <c r="K109" s="40">
        <v>1</v>
      </c>
      <c r="L109" s="40">
        <v>1</v>
      </c>
      <c r="M109" s="40">
        <f t="shared" si="4"/>
        <v>6</v>
      </c>
      <c r="N109" s="40">
        <v>36</v>
      </c>
    </row>
    <row r="110" spans="1:14" x14ac:dyDescent="0.25">
      <c r="A110" s="40">
        <v>12108</v>
      </c>
      <c r="B110" s="40" t="s">
        <v>217</v>
      </c>
      <c r="C110" s="40">
        <v>196</v>
      </c>
      <c r="D110" s="40" t="s">
        <v>361</v>
      </c>
      <c r="E110" s="40" t="s">
        <v>218</v>
      </c>
      <c r="F110" s="40" t="s">
        <v>219</v>
      </c>
      <c r="G110" s="40"/>
      <c r="H110" s="40">
        <v>1</v>
      </c>
      <c r="I110" s="40"/>
      <c r="J110" s="40">
        <v>1</v>
      </c>
      <c r="K110" s="40"/>
      <c r="L110" s="40"/>
      <c r="M110" s="40">
        <f t="shared" si="4"/>
        <v>2</v>
      </c>
      <c r="N110" s="40">
        <v>34</v>
      </c>
    </row>
    <row r="111" spans="1:14" x14ac:dyDescent="0.25">
      <c r="A111" s="26">
        <v>12108</v>
      </c>
      <c r="B111" s="26" t="s">
        <v>217</v>
      </c>
      <c r="C111" s="26">
        <v>197</v>
      </c>
      <c r="D111" s="26" t="s">
        <v>362</v>
      </c>
      <c r="E111" s="40" t="s">
        <v>220</v>
      </c>
      <c r="F111" s="40" t="s">
        <v>221</v>
      </c>
      <c r="G111" s="26"/>
      <c r="H111" s="26"/>
      <c r="I111" s="26">
        <v>1</v>
      </c>
      <c r="J111" s="26"/>
      <c r="K111" s="26"/>
      <c r="L111" s="26"/>
      <c r="M111" s="26">
        <f t="shared" si="4"/>
        <v>1</v>
      </c>
      <c r="N111" s="26">
        <v>7</v>
      </c>
    </row>
    <row r="112" spans="1:14" x14ac:dyDescent="0.25">
      <c r="A112" s="40">
        <v>12108</v>
      </c>
      <c r="B112" s="40" t="s">
        <v>217</v>
      </c>
      <c r="C112" s="40">
        <v>8900004</v>
      </c>
      <c r="D112" s="40" t="s">
        <v>363</v>
      </c>
      <c r="E112" s="40" t="s">
        <v>222</v>
      </c>
      <c r="F112" s="40" t="s">
        <v>57</v>
      </c>
      <c r="G112" s="40"/>
      <c r="H112" s="40">
        <v>1</v>
      </c>
      <c r="I112" s="40"/>
      <c r="J112" s="40">
        <v>1</v>
      </c>
      <c r="K112" s="40"/>
      <c r="L112" s="40">
        <v>1</v>
      </c>
      <c r="M112" s="40">
        <f t="shared" si="4"/>
        <v>3</v>
      </c>
      <c r="N112" s="40">
        <v>38</v>
      </c>
    </row>
    <row r="113" spans="1:23" x14ac:dyDescent="0.25">
      <c r="A113" s="40">
        <v>12108</v>
      </c>
      <c r="B113" s="40" t="s">
        <v>217</v>
      </c>
      <c r="C113" s="40">
        <v>8900016</v>
      </c>
      <c r="D113" s="40" t="s">
        <v>364</v>
      </c>
      <c r="E113" s="40" t="s">
        <v>223</v>
      </c>
      <c r="F113" s="40" t="s">
        <v>224</v>
      </c>
      <c r="G113" s="40"/>
      <c r="H113" s="40">
        <v>1</v>
      </c>
      <c r="I113" s="40"/>
      <c r="J113" s="40">
        <v>1</v>
      </c>
      <c r="K113" s="40"/>
      <c r="L113" s="40">
        <v>1</v>
      </c>
      <c r="M113" s="40">
        <f t="shared" si="4"/>
        <v>3</v>
      </c>
      <c r="N113" s="40">
        <v>38</v>
      </c>
    </row>
    <row r="114" spans="1:23" x14ac:dyDescent="0.25">
      <c r="A114" s="40">
        <v>12108</v>
      </c>
      <c r="B114" s="40" t="s">
        <v>217</v>
      </c>
      <c r="C114" s="40">
        <v>4803</v>
      </c>
      <c r="D114" s="40" t="s">
        <v>367</v>
      </c>
      <c r="E114" s="40" t="s">
        <v>225</v>
      </c>
      <c r="F114" s="40" t="s">
        <v>226</v>
      </c>
      <c r="G114" s="40">
        <v>1</v>
      </c>
      <c r="H114" s="40"/>
      <c r="I114" s="40">
        <v>1</v>
      </c>
      <c r="J114" s="40"/>
      <c r="K114" s="40">
        <v>1</v>
      </c>
      <c r="L114" s="40"/>
      <c r="M114" s="40">
        <f t="shared" si="4"/>
        <v>3</v>
      </c>
      <c r="N114" s="40">
        <v>36</v>
      </c>
    </row>
    <row r="115" spans="1:23" x14ac:dyDescent="0.25">
      <c r="A115" s="40">
        <v>12108</v>
      </c>
      <c r="B115" s="40" t="s">
        <v>217</v>
      </c>
      <c r="C115" s="40">
        <v>182</v>
      </c>
      <c r="D115" s="40" t="s">
        <v>368</v>
      </c>
      <c r="E115" s="40" t="s">
        <v>227</v>
      </c>
      <c r="F115" s="40" t="s">
        <v>226</v>
      </c>
      <c r="G115" s="40"/>
      <c r="H115" s="40">
        <v>1</v>
      </c>
      <c r="I115" s="40"/>
      <c r="J115" s="40">
        <v>1</v>
      </c>
      <c r="K115" s="40">
        <v>1</v>
      </c>
      <c r="L115" s="40"/>
      <c r="M115" s="40">
        <f t="shared" si="4"/>
        <v>3</v>
      </c>
      <c r="N115" s="40">
        <v>34</v>
      </c>
    </row>
    <row r="116" spans="1:23" s="41" customFormat="1" x14ac:dyDescent="0.25">
      <c r="A116" s="26">
        <v>12108</v>
      </c>
      <c r="B116" s="26" t="s">
        <v>217</v>
      </c>
      <c r="C116" s="26">
        <v>902</v>
      </c>
      <c r="D116" s="26" t="s">
        <v>369</v>
      </c>
      <c r="E116" s="40" t="s">
        <v>228</v>
      </c>
      <c r="F116" s="40" t="s">
        <v>185</v>
      </c>
      <c r="G116" s="26">
        <v>1</v>
      </c>
      <c r="H116" s="26"/>
      <c r="I116" s="26">
        <v>1</v>
      </c>
      <c r="J116" s="26"/>
      <c r="K116" s="26"/>
      <c r="L116" s="26"/>
      <c r="M116" s="26">
        <f t="shared" si="4"/>
        <v>2</v>
      </c>
      <c r="N116" s="26">
        <v>7</v>
      </c>
      <c r="O116" s="39"/>
      <c r="P116" s="39"/>
      <c r="Q116" s="39"/>
      <c r="R116" s="39"/>
      <c r="S116" s="39"/>
      <c r="T116" s="39"/>
      <c r="U116" s="39"/>
      <c r="V116" s="39"/>
      <c r="W116" s="39"/>
    </row>
    <row r="117" spans="1:23" s="17" customFormat="1" x14ac:dyDescent="0.25">
      <c r="A117" s="26">
        <v>12108</v>
      </c>
      <c r="B117" s="26" t="s">
        <v>217</v>
      </c>
      <c r="C117" s="26">
        <v>203</v>
      </c>
      <c r="D117" s="26" t="s">
        <v>370</v>
      </c>
      <c r="E117" s="40" t="s">
        <v>229</v>
      </c>
      <c r="F117" s="40" t="s">
        <v>230</v>
      </c>
      <c r="G117" s="26"/>
      <c r="H117" s="26"/>
      <c r="I117" s="26"/>
      <c r="J117" s="26"/>
      <c r="K117" s="26">
        <v>1</v>
      </c>
      <c r="L117" s="26"/>
      <c r="M117" s="26">
        <f t="shared" si="4"/>
        <v>1</v>
      </c>
      <c r="N117" s="26">
        <v>7</v>
      </c>
      <c r="O117" s="39"/>
      <c r="P117" s="39"/>
      <c r="Q117" s="39"/>
      <c r="R117" s="39"/>
      <c r="S117" s="39"/>
      <c r="T117" s="39"/>
      <c r="U117" s="39"/>
      <c r="V117" s="39"/>
      <c r="W117" s="39"/>
    </row>
    <row r="118" spans="1:23" x14ac:dyDescent="0.25">
      <c r="A118" s="26">
        <v>12108</v>
      </c>
      <c r="B118" s="26" t="s">
        <v>217</v>
      </c>
      <c r="C118" s="26">
        <v>4221</v>
      </c>
      <c r="D118" s="26" t="s">
        <v>371</v>
      </c>
      <c r="E118" s="40" t="s">
        <v>231</v>
      </c>
      <c r="F118" s="40" t="s">
        <v>230</v>
      </c>
      <c r="G118" s="26"/>
      <c r="H118" s="26"/>
      <c r="I118" s="26"/>
      <c r="J118" s="26">
        <v>1</v>
      </c>
      <c r="K118" s="26"/>
      <c r="L118" s="26"/>
      <c r="M118" s="26">
        <f t="shared" si="4"/>
        <v>1</v>
      </c>
      <c r="N118" s="26">
        <v>11</v>
      </c>
    </row>
    <row r="119" spans="1:23" x14ac:dyDescent="0.25">
      <c r="A119" s="40">
        <v>12108</v>
      </c>
      <c r="B119" s="40" t="s">
        <v>217</v>
      </c>
      <c r="C119" s="40">
        <v>9631</v>
      </c>
      <c r="D119" s="40" t="s">
        <v>372</v>
      </c>
      <c r="E119" s="40" t="s">
        <v>232</v>
      </c>
      <c r="F119" s="40" t="s">
        <v>58</v>
      </c>
      <c r="G119" s="40">
        <v>1</v>
      </c>
      <c r="H119" s="40"/>
      <c r="I119" s="40">
        <v>1</v>
      </c>
      <c r="J119" s="40"/>
      <c r="K119" s="40">
        <v>1</v>
      </c>
      <c r="L119" s="40"/>
      <c r="M119" s="40">
        <f t="shared" si="4"/>
        <v>3</v>
      </c>
      <c r="N119" s="40">
        <v>30</v>
      </c>
    </row>
    <row r="120" spans="1:23" x14ac:dyDescent="0.25">
      <c r="A120" s="40">
        <v>12087</v>
      </c>
      <c r="B120" s="40" t="s">
        <v>233</v>
      </c>
      <c r="C120" s="40">
        <v>8900015</v>
      </c>
      <c r="D120" s="40" t="s">
        <v>365</v>
      </c>
      <c r="E120" s="40" t="s">
        <v>234</v>
      </c>
      <c r="F120" s="40" t="s">
        <v>110</v>
      </c>
      <c r="G120" s="40">
        <v>1</v>
      </c>
      <c r="H120" s="40"/>
      <c r="I120" s="40">
        <v>1</v>
      </c>
      <c r="J120" s="40"/>
      <c r="K120" s="40">
        <v>1</v>
      </c>
      <c r="L120" s="40">
        <v>1</v>
      </c>
      <c r="M120" s="40">
        <f t="shared" si="4"/>
        <v>4</v>
      </c>
      <c r="N120" s="40">
        <v>38</v>
      </c>
    </row>
    <row r="121" spans="1:23" x14ac:dyDescent="0.25">
      <c r="A121" s="40">
        <v>12087</v>
      </c>
      <c r="B121" s="40" t="s">
        <v>233</v>
      </c>
      <c r="C121" s="40">
        <v>1006</v>
      </c>
      <c r="D121" s="40" t="s">
        <v>373</v>
      </c>
      <c r="E121" s="40" t="s">
        <v>235</v>
      </c>
      <c r="F121" s="40" t="s">
        <v>110</v>
      </c>
      <c r="G121" s="40">
        <v>1</v>
      </c>
      <c r="H121" s="40"/>
      <c r="I121" s="40">
        <v>1</v>
      </c>
      <c r="J121" s="40"/>
      <c r="K121" s="40">
        <v>1</v>
      </c>
      <c r="L121" s="40"/>
      <c r="M121" s="40">
        <f t="shared" si="4"/>
        <v>3</v>
      </c>
      <c r="N121" s="40">
        <v>36</v>
      </c>
    </row>
    <row r="122" spans="1:23" x14ac:dyDescent="0.25">
      <c r="A122" s="26">
        <v>12087</v>
      </c>
      <c r="B122" s="26" t="s">
        <v>233</v>
      </c>
      <c r="C122" s="26">
        <v>268</v>
      </c>
      <c r="D122" s="26" t="s">
        <v>374</v>
      </c>
      <c r="E122" s="40" t="s">
        <v>236</v>
      </c>
      <c r="F122" s="40" t="s">
        <v>110</v>
      </c>
      <c r="G122" s="26"/>
      <c r="H122" s="26"/>
      <c r="I122" s="26"/>
      <c r="J122" s="26"/>
      <c r="K122" s="26">
        <v>1</v>
      </c>
      <c r="L122" s="26"/>
      <c r="M122" s="26">
        <f t="shared" si="4"/>
        <v>1</v>
      </c>
      <c r="N122" s="26">
        <v>7</v>
      </c>
    </row>
    <row r="123" spans="1:23" x14ac:dyDescent="0.25">
      <c r="A123" s="26">
        <v>12087</v>
      </c>
      <c r="B123" s="26" t="s">
        <v>233</v>
      </c>
      <c r="C123" s="26">
        <v>276</v>
      </c>
      <c r="D123" s="26" t="s">
        <v>375</v>
      </c>
      <c r="E123" s="40" t="s">
        <v>237</v>
      </c>
      <c r="F123" s="40" t="s">
        <v>110</v>
      </c>
      <c r="G123" s="26">
        <v>1</v>
      </c>
      <c r="H123" s="26"/>
      <c r="I123" s="26"/>
      <c r="J123" s="26"/>
      <c r="K123" s="26"/>
      <c r="L123" s="26"/>
      <c r="M123" s="26">
        <f t="shared" si="4"/>
        <v>1</v>
      </c>
      <c r="N123" s="26">
        <v>7</v>
      </c>
    </row>
    <row r="124" spans="1:23" s="41" customFormat="1" x14ac:dyDescent="0.25">
      <c r="A124" s="26">
        <v>12087</v>
      </c>
      <c r="B124" s="26" t="s">
        <v>233</v>
      </c>
      <c r="C124" s="26">
        <v>218</v>
      </c>
      <c r="D124" s="26" t="s">
        <v>376</v>
      </c>
      <c r="E124" s="40" t="s">
        <v>238</v>
      </c>
      <c r="F124" s="40" t="s">
        <v>110</v>
      </c>
      <c r="G124" s="26"/>
      <c r="H124" s="26"/>
      <c r="I124" s="26">
        <v>1</v>
      </c>
      <c r="J124" s="26"/>
      <c r="K124" s="26"/>
      <c r="L124" s="26">
        <v>1</v>
      </c>
      <c r="M124" s="26">
        <f t="shared" si="4"/>
        <v>2</v>
      </c>
      <c r="N124" s="26">
        <v>7</v>
      </c>
      <c r="O124" s="39"/>
      <c r="P124" s="39"/>
      <c r="Q124" s="39"/>
      <c r="R124" s="39"/>
      <c r="S124" s="39"/>
      <c r="T124" s="39"/>
      <c r="U124" s="39"/>
      <c r="V124" s="39"/>
      <c r="W124" s="39"/>
    </row>
    <row r="125" spans="1:23" x14ac:dyDescent="0.25">
      <c r="A125" s="40">
        <v>12087</v>
      </c>
      <c r="B125" s="40" t="s">
        <v>233</v>
      </c>
      <c r="C125" s="40">
        <v>954</v>
      </c>
      <c r="D125" s="40" t="s">
        <v>377</v>
      </c>
      <c r="E125" s="40" t="s">
        <v>239</v>
      </c>
      <c r="F125" s="40" t="s">
        <v>110</v>
      </c>
      <c r="G125" s="40"/>
      <c r="H125" s="40">
        <v>1</v>
      </c>
      <c r="I125" s="40"/>
      <c r="J125" s="40">
        <v>1</v>
      </c>
      <c r="K125" s="40"/>
      <c r="L125" s="40"/>
      <c r="M125" s="40">
        <f t="shared" si="4"/>
        <v>2</v>
      </c>
      <c r="N125" s="40">
        <v>36</v>
      </c>
    </row>
    <row r="126" spans="1:23" x14ac:dyDescent="0.25">
      <c r="A126" s="40">
        <v>12087</v>
      </c>
      <c r="B126" s="40" t="s">
        <v>233</v>
      </c>
      <c r="C126" s="40">
        <v>212</v>
      </c>
      <c r="D126" s="40" t="s">
        <v>378</v>
      </c>
      <c r="E126" s="40" t="s">
        <v>240</v>
      </c>
      <c r="F126" s="40" t="s">
        <v>110</v>
      </c>
      <c r="G126" s="40">
        <v>1</v>
      </c>
      <c r="H126" s="40"/>
      <c r="I126" s="40">
        <v>1</v>
      </c>
      <c r="J126" s="40"/>
      <c r="K126" s="40">
        <v>1</v>
      </c>
      <c r="L126" s="40"/>
      <c r="M126" s="40">
        <f t="shared" si="4"/>
        <v>3</v>
      </c>
      <c r="N126" s="40">
        <v>34</v>
      </c>
    </row>
    <row r="127" spans="1:23" x14ac:dyDescent="0.25">
      <c r="A127" s="40">
        <v>12087</v>
      </c>
      <c r="B127" s="40" t="s">
        <v>233</v>
      </c>
      <c r="C127" s="40">
        <v>11899</v>
      </c>
      <c r="D127" s="40" t="s">
        <v>379</v>
      </c>
      <c r="E127" s="40" t="s">
        <v>241</v>
      </c>
      <c r="F127" s="40" t="s">
        <v>114</v>
      </c>
      <c r="G127" s="40"/>
      <c r="H127" s="40">
        <v>1</v>
      </c>
      <c r="I127" s="40"/>
      <c r="J127" s="40">
        <v>1</v>
      </c>
      <c r="K127" s="40"/>
      <c r="L127" s="40"/>
      <c r="M127" s="40">
        <f t="shared" si="4"/>
        <v>2</v>
      </c>
      <c r="N127" s="40">
        <v>34</v>
      </c>
    </row>
    <row r="128" spans="1:23" x14ac:dyDescent="0.25">
      <c r="A128" s="40">
        <v>12087</v>
      </c>
      <c r="B128" s="40" t="s">
        <v>233</v>
      </c>
      <c r="C128" s="40">
        <v>11851</v>
      </c>
      <c r="D128" s="40" t="s">
        <v>380</v>
      </c>
      <c r="E128" s="40" t="s">
        <v>242</v>
      </c>
      <c r="F128" s="40" t="s">
        <v>114</v>
      </c>
      <c r="G128" s="40"/>
      <c r="H128" s="40">
        <v>1</v>
      </c>
      <c r="I128" s="40"/>
      <c r="J128" s="40">
        <v>1</v>
      </c>
      <c r="K128" s="40"/>
      <c r="L128" s="40"/>
      <c r="M128" s="40">
        <f t="shared" si="4"/>
        <v>2</v>
      </c>
      <c r="N128" s="40">
        <v>34</v>
      </c>
    </row>
    <row r="129" spans="1:14" x14ac:dyDescent="0.25">
      <c r="A129" s="40">
        <v>12087</v>
      </c>
      <c r="B129" s="40" t="s">
        <v>233</v>
      </c>
      <c r="C129" s="40">
        <v>10947</v>
      </c>
      <c r="D129" s="40" t="s">
        <v>381</v>
      </c>
      <c r="E129" s="40" t="s">
        <v>243</v>
      </c>
      <c r="F129" s="40" t="s">
        <v>110</v>
      </c>
      <c r="G129" s="40"/>
      <c r="H129" s="40">
        <v>1</v>
      </c>
      <c r="I129" s="40"/>
      <c r="J129" s="40">
        <v>1</v>
      </c>
      <c r="K129" s="40"/>
      <c r="L129" s="40"/>
      <c r="M129" s="40">
        <f t="shared" si="4"/>
        <v>2</v>
      </c>
      <c r="N129" s="40">
        <v>26</v>
      </c>
    </row>
    <row r="130" spans="1:14" x14ac:dyDescent="0.25">
      <c r="A130" s="40">
        <v>12155</v>
      </c>
      <c r="B130" s="40" t="s">
        <v>244</v>
      </c>
      <c r="C130" s="40">
        <v>548</v>
      </c>
      <c r="D130" s="40" t="s">
        <v>382</v>
      </c>
      <c r="E130" s="40" t="s">
        <v>245</v>
      </c>
      <c r="F130" s="40" t="s">
        <v>246</v>
      </c>
      <c r="G130" s="40">
        <v>1</v>
      </c>
      <c r="H130" s="40"/>
      <c r="I130" s="40">
        <v>1</v>
      </c>
      <c r="J130" s="40"/>
      <c r="K130" s="40">
        <v>1</v>
      </c>
      <c r="L130" s="40"/>
      <c r="M130" s="40">
        <f t="shared" si="4"/>
        <v>3</v>
      </c>
      <c r="N130" s="40">
        <v>35</v>
      </c>
    </row>
    <row r="131" spans="1:14" x14ac:dyDescent="0.25">
      <c r="A131" s="40">
        <v>12155</v>
      </c>
      <c r="B131" s="40" t="s">
        <v>244</v>
      </c>
      <c r="C131" s="40">
        <v>8971160</v>
      </c>
      <c r="D131" s="40" t="s">
        <v>383</v>
      </c>
      <c r="E131" s="40" t="s">
        <v>247</v>
      </c>
      <c r="F131" s="40" t="s">
        <v>248</v>
      </c>
      <c r="G131" s="40"/>
      <c r="H131" s="40">
        <v>1</v>
      </c>
      <c r="I131" s="40"/>
      <c r="J131" s="40">
        <v>1</v>
      </c>
      <c r="K131" s="40"/>
      <c r="L131" s="40"/>
      <c r="M131" s="40">
        <f t="shared" si="4"/>
        <v>2</v>
      </c>
      <c r="N131" s="40">
        <v>19</v>
      </c>
    </row>
    <row r="132" spans="1:14" x14ac:dyDescent="0.25">
      <c r="A132" s="40">
        <v>12155</v>
      </c>
      <c r="B132" s="40" t="s">
        <v>244</v>
      </c>
      <c r="C132" s="40">
        <v>976</v>
      </c>
      <c r="D132" s="40" t="s">
        <v>384</v>
      </c>
      <c r="E132" s="40" t="s">
        <v>249</v>
      </c>
      <c r="F132" s="40" t="s">
        <v>248</v>
      </c>
      <c r="G132" s="40">
        <v>1</v>
      </c>
      <c r="H132" s="40"/>
      <c r="I132" s="40">
        <v>1</v>
      </c>
      <c r="J132" s="40"/>
      <c r="K132" s="40">
        <v>1</v>
      </c>
      <c r="L132" s="40"/>
      <c r="M132" s="40">
        <f t="shared" si="4"/>
        <v>3</v>
      </c>
      <c r="N132" s="40">
        <v>35</v>
      </c>
    </row>
    <row r="133" spans="1:14" x14ac:dyDescent="0.25">
      <c r="A133" s="40">
        <v>12155</v>
      </c>
      <c r="B133" s="40" t="s">
        <v>244</v>
      </c>
      <c r="C133" s="40">
        <v>862</v>
      </c>
      <c r="D133" s="40" t="s">
        <v>385</v>
      </c>
      <c r="E133" s="40" t="s">
        <v>250</v>
      </c>
      <c r="F133" s="40" t="s">
        <v>251</v>
      </c>
      <c r="G133" s="40"/>
      <c r="H133" s="40">
        <v>1</v>
      </c>
      <c r="I133" s="40"/>
      <c r="J133" s="40">
        <v>1</v>
      </c>
      <c r="K133" s="40"/>
      <c r="L133" s="40"/>
      <c r="M133" s="40">
        <f t="shared" si="4"/>
        <v>2</v>
      </c>
      <c r="N133" s="40">
        <v>34</v>
      </c>
    </row>
    <row r="134" spans="1:14" x14ac:dyDescent="0.25">
      <c r="A134" s="40">
        <v>12155</v>
      </c>
      <c r="B134" s="40" t="s">
        <v>244</v>
      </c>
      <c r="C134" s="40">
        <v>10756</v>
      </c>
      <c r="D134" s="40" t="s">
        <v>386</v>
      </c>
      <c r="E134" s="40" t="s">
        <v>252</v>
      </c>
      <c r="F134" s="40" t="s">
        <v>246</v>
      </c>
      <c r="G134" s="40">
        <v>1</v>
      </c>
      <c r="H134" s="40">
        <v>1</v>
      </c>
      <c r="I134" s="40">
        <v>1</v>
      </c>
      <c r="J134" s="40">
        <v>1</v>
      </c>
      <c r="K134" s="40">
        <v>1</v>
      </c>
      <c r="L134" s="40">
        <v>1</v>
      </c>
      <c r="M134" s="40">
        <f t="shared" si="4"/>
        <v>6</v>
      </c>
      <c r="N134" s="40">
        <v>36</v>
      </c>
    </row>
  </sheetData>
  <autoFilter ref="A2:N134" xr:uid="{0CECEA20-3F89-4AF0-9A9C-B1A68B340A52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16DB4-74AF-4519-9E65-3650226A8C8A}">
  <dimension ref="D4:I19"/>
  <sheetViews>
    <sheetView workbookViewId="0">
      <selection activeCell="O15" sqref="O15"/>
    </sheetView>
  </sheetViews>
  <sheetFormatPr defaultRowHeight="15" x14ac:dyDescent="0.25"/>
  <cols>
    <col min="4" max="4" width="10.7109375" bestFit="1" customWidth="1"/>
    <col min="5" max="5" width="5" bestFit="1" customWidth="1"/>
    <col min="6" max="6" width="6.7109375" bestFit="1" customWidth="1"/>
    <col min="7" max="7" width="5.5703125" bestFit="1" customWidth="1"/>
    <col min="8" max="8" width="7.28515625" bestFit="1" customWidth="1"/>
    <col min="9" max="9" width="8" bestFit="1" customWidth="1"/>
  </cols>
  <sheetData>
    <row r="4" spans="4:9" x14ac:dyDescent="0.25">
      <c r="D4" s="45" t="s">
        <v>396</v>
      </c>
      <c r="E4" s="45"/>
      <c r="F4" s="45"/>
      <c r="G4" s="45"/>
      <c r="H4" s="45"/>
      <c r="I4" s="45"/>
    </row>
    <row r="5" spans="4:9" x14ac:dyDescent="0.25">
      <c r="D5" s="39" t="s">
        <v>397</v>
      </c>
      <c r="E5" s="39" t="s">
        <v>398</v>
      </c>
      <c r="F5" s="43" t="s">
        <v>399</v>
      </c>
      <c r="G5" s="43" t="s">
        <v>400</v>
      </c>
      <c r="H5" s="43" t="s">
        <v>401</v>
      </c>
      <c r="I5" s="43" t="s">
        <v>402</v>
      </c>
    </row>
    <row r="6" spans="4:9" x14ac:dyDescent="0.25">
      <c r="D6" s="44">
        <v>45782</v>
      </c>
      <c r="E6" s="39" t="str">
        <f>UPPER(TEXT(D6,"DDD"))</f>
        <v>SEG</v>
      </c>
      <c r="F6" s="43">
        <v>0.30972222222222223</v>
      </c>
      <c r="G6" s="43">
        <v>0.50486111111111109</v>
      </c>
      <c r="H6" s="43">
        <f>G6-F6</f>
        <v>0.19513888888888886</v>
      </c>
      <c r="I6" s="43">
        <v>2.0833333333333332E-2</v>
      </c>
    </row>
    <row r="7" spans="4:9" x14ac:dyDescent="0.25">
      <c r="D7" s="44">
        <f>D6+1</f>
        <v>45783</v>
      </c>
      <c r="E7" s="39" t="str">
        <f t="shared" ref="E7:E11" si="0">UPPER(TEXT(D7,"DDD"))</f>
        <v>TER</v>
      </c>
      <c r="F7" s="43">
        <v>0.32291666666666669</v>
      </c>
      <c r="G7" s="43">
        <v>0.50763888888888886</v>
      </c>
      <c r="H7" s="43">
        <f t="shared" ref="H7:H11" si="1">G7-F7</f>
        <v>0.18472222222222218</v>
      </c>
      <c r="I7" s="43"/>
    </row>
    <row r="8" spans="4:9" x14ac:dyDescent="0.25">
      <c r="D8" s="44">
        <f t="shared" ref="D8:D11" si="2">D7+1</f>
        <v>45784</v>
      </c>
      <c r="E8" s="39" t="str">
        <f t="shared" si="0"/>
        <v>QUA</v>
      </c>
      <c r="F8" s="43">
        <v>0.32291666666666669</v>
      </c>
      <c r="G8" s="43">
        <v>0.5</v>
      </c>
      <c r="H8" s="43">
        <f t="shared" si="1"/>
        <v>0.17708333333333331</v>
      </c>
      <c r="I8" s="43"/>
    </row>
    <row r="9" spans="4:9" x14ac:dyDescent="0.25">
      <c r="D9" s="44">
        <f t="shared" si="2"/>
        <v>45785</v>
      </c>
      <c r="E9" s="39" t="str">
        <f t="shared" si="0"/>
        <v>QUI</v>
      </c>
      <c r="F9" s="43">
        <v>0.31874999999999998</v>
      </c>
      <c r="G9" s="43">
        <v>0.49930555555555556</v>
      </c>
      <c r="H9" s="43">
        <f t="shared" si="1"/>
        <v>0.18055555555555558</v>
      </c>
      <c r="I9" s="43"/>
    </row>
    <row r="10" spans="4:9" x14ac:dyDescent="0.25">
      <c r="D10" s="44">
        <f t="shared" si="2"/>
        <v>45786</v>
      </c>
      <c r="E10" s="39" t="str">
        <f t="shared" si="0"/>
        <v>SEX</v>
      </c>
      <c r="F10" s="43">
        <v>0.32083333333333336</v>
      </c>
      <c r="G10" s="43">
        <v>0.49861111111111112</v>
      </c>
      <c r="H10" s="43">
        <f t="shared" si="1"/>
        <v>0.17777777777777776</v>
      </c>
      <c r="I10" s="43"/>
    </row>
    <row r="11" spans="4:9" x14ac:dyDescent="0.25">
      <c r="D11" s="44">
        <f t="shared" si="2"/>
        <v>45787</v>
      </c>
      <c r="E11" s="39" t="str">
        <f t="shared" si="0"/>
        <v>SÁB</v>
      </c>
      <c r="F11" s="43">
        <v>0.3215277777777778</v>
      </c>
      <c r="G11" s="43">
        <v>0.48055555555555557</v>
      </c>
      <c r="H11" s="43">
        <f t="shared" si="1"/>
        <v>0.15902777777777777</v>
      </c>
      <c r="I11" s="43"/>
    </row>
    <row r="12" spans="4:9" x14ac:dyDescent="0.25">
      <c r="D12" s="39"/>
      <c r="E12" s="39"/>
      <c r="F12" s="43"/>
      <c r="G12" s="43"/>
      <c r="H12" s="43"/>
    </row>
    <row r="13" spans="4:9" x14ac:dyDescent="0.25">
      <c r="D13" s="39" t="s">
        <v>397</v>
      </c>
      <c r="E13" s="39" t="s">
        <v>398</v>
      </c>
      <c r="F13" s="43" t="s">
        <v>399</v>
      </c>
      <c r="G13" s="43" t="s">
        <v>400</v>
      </c>
      <c r="H13" s="43" t="s">
        <v>401</v>
      </c>
      <c r="I13" s="43" t="s">
        <v>402</v>
      </c>
    </row>
    <row r="14" spans="4:9" x14ac:dyDescent="0.25">
      <c r="D14" s="44">
        <v>45782</v>
      </c>
      <c r="E14" s="39" t="str">
        <f>UPPER(TEXT(D14,"DDD"))</f>
        <v>SEG</v>
      </c>
      <c r="F14" s="43">
        <v>0.30972222222222223</v>
      </c>
      <c r="G14" s="43">
        <v>0.50486111111111109</v>
      </c>
      <c r="H14" s="43">
        <f>G14-F14</f>
        <v>0.19513888888888886</v>
      </c>
      <c r="I14" s="43">
        <v>2.0833333333333332E-2</v>
      </c>
    </row>
    <row r="15" spans="4:9" x14ac:dyDescent="0.25">
      <c r="D15" s="44">
        <f>D14+1</f>
        <v>45783</v>
      </c>
      <c r="E15" s="39" t="str">
        <f t="shared" ref="E15:E19" si="3">UPPER(TEXT(D15,"DDD"))</f>
        <v>TER</v>
      </c>
      <c r="F15" s="43">
        <v>0.32291666666666669</v>
      </c>
      <c r="G15" s="43">
        <v>0.50763888888888886</v>
      </c>
      <c r="H15" s="43">
        <f t="shared" ref="H15:H19" si="4">G15-F15</f>
        <v>0.18472222222222218</v>
      </c>
      <c r="I15" s="43"/>
    </row>
    <row r="16" spans="4:9" x14ac:dyDescent="0.25">
      <c r="D16" s="44">
        <f t="shared" ref="D16:D19" si="5">D15+1</f>
        <v>45784</v>
      </c>
      <c r="E16" s="39" t="str">
        <f t="shared" si="3"/>
        <v>QUA</v>
      </c>
      <c r="F16" s="43">
        <v>0.32291666666666669</v>
      </c>
      <c r="G16" s="43">
        <v>0.5</v>
      </c>
      <c r="H16" s="43">
        <f t="shared" si="4"/>
        <v>0.17708333333333331</v>
      </c>
      <c r="I16" s="43"/>
    </row>
    <row r="17" spans="4:9" x14ac:dyDescent="0.25">
      <c r="D17" s="44">
        <f t="shared" si="5"/>
        <v>45785</v>
      </c>
      <c r="E17" s="39" t="str">
        <f t="shared" si="3"/>
        <v>QUI</v>
      </c>
      <c r="F17" s="43">
        <v>0.31874999999999998</v>
      </c>
      <c r="G17" s="43">
        <v>0.49930555555555556</v>
      </c>
      <c r="H17" s="43">
        <f t="shared" si="4"/>
        <v>0.18055555555555558</v>
      </c>
      <c r="I17" s="43"/>
    </row>
    <row r="18" spans="4:9" x14ac:dyDescent="0.25">
      <c r="D18" s="44">
        <f t="shared" si="5"/>
        <v>45786</v>
      </c>
      <c r="E18" s="39" t="str">
        <f t="shared" si="3"/>
        <v>SEX</v>
      </c>
      <c r="F18" s="43">
        <v>0.32083333333333336</v>
      </c>
      <c r="G18" s="43">
        <v>0.49861111111111112</v>
      </c>
      <c r="H18" s="43">
        <f t="shared" si="4"/>
        <v>0.17777777777777776</v>
      </c>
      <c r="I18" s="43"/>
    </row>
    <row r="19" spans="4:9" x14ac:dyDescent="0.25">
      <c r="D19" s="44">
        <f t="shared" si="5"/>
        <v>45787</v>
      </c>
      <c r="E19" s="39" t="str">
        <f t="shared" si="3"/>
        <v>SÁB</v>
      </c>
      <c r="F19" s="43">
        <v>0.3215277777777778</v>
      </c>
      <c r="G19" s="43">
        <v>0.48055555555555557</v>
      </c>
      <c r="H19" s="43">
        <f t="shared" si="4"/>
        <v>0.15902777777777777</v>
      </c>
      <c r="I19" s="43"/>
    </row>
  </sheetData>
  <mergeCells count="1">
    <mergeCell ref="D4:I4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DE19-6390-4A4A-AEE4-F9C0F0EC8ACB}">
  <sheetPr filterMode="1"/>
  <dimension ref="A1:BL76"/>
  <sheetViews>
    <sheetView showGridLines="0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R89" sqref="R89"/>
    </sheetView>
  </sheetViews>
  <sheetFormatPr defaultColWidth="13.7109375" defaultRowHeight="15" x14ac:dyDescent="0.25"/>
  <cols>
    <col min="1" max="1" width="6" bestFit="1" customWidth="1"/>
    <col min="2" max="2" width="23.140625" bestFit="1" customWidth="1"/>
    <col min="3" max="3" width="8" bestFit="1" customWidth="1"/>
    <col min="4" max="4" width="43.28515625" bestFit="1" customWidth="1"/>
    <col min="5" max="5" width="58.140625" bestFit="1" customWidth="1"/>
    <col min="6" max="6" width="31.42578125" bestFit="1" customWidth="1"/>
    <col min="7" max="8" width="0" hidden="1" customWidth="1"/>
    <col min="9" max="9" width="23.28515625" hidden="1" customWidth="1"/>
    <col min="10" max="10" width="6.7109375" bestFit="1" customWidth="1"/>
    <col min="11" max="11" width="6.42578125" bestFit="1" customWidth="1"/>
    <col min="12" max="12" width="7.42578125" bestFit="1" customWidth="1"/>
    <col min="13" max="13" width="6.7109375" bestFit="1" customWidth="1"/>
    <col min="14" max="14" width="6.42578125" bestFit="1" customWidth="1"/>
    <col min="15" max="15" width="6.7109375" bestFit="1" customWidth="1"/>
    <col min="16" max="16" width="8.85546875" bestFit="1" customWidth="1"/>
  </cols>
  <sheetData>
    <row r="1" spans="1:64" x14ac:dyDescent="0.25">
      <c r="J1">
        <f t="shared" ref="J1:P1" si="0">SUBTOTAL(9,J3:J76)</f>
        <v>3</v>
      </c>
      <c r="K1">
        <f t="shared" si="0"/>
        <v>4</v>
      </c>
      <c r="L1">
        <f t="shared" si="0"/>
        <v>3</v>
      </c>
      <c r="M1">
        <f t="shared" si="0"/>
        <v>5</v>
      </c>
      <c r="N1">
        <f t="shared" si="0"/>
        <v>4</v>
      </c>
      <c r="O1">
        <f t="shared" si="0"/>
        <v>2</v>
      </c>
      <c r="P1">
        <f t="shared" si="0"/>
        <v>21</v>
      </c>
    </row>
    <row r="2" spans="1:64" x14ac:dyDescent="0.25">
      <c r="A2" s="10" t="s">
        <v>23</v>
      </c>
      <c r="B2" s="10" t="s">
        <v>21</v>
      </c>
      <c r="C2" s="11" t="s">
        <v>70</v>
      </c>
      <c r="D2" s="11" t="s">
        <v>71</v>
      </c>
      <c r="E2" s="11" t="s">
        <v>72</v>
      </c>
      <c r="F2" s="11" t="s">
        <v>73</v>
      </c>
      <c r="G2" s="1" t="s">
        <v>74</v>
      </c>
      <c r="H2" s="1" t="s">
        <v>75</v>
      </c>
      <c r="I2" s="1" t="s">
        <v>76</v>
      </c>
      <c r="J2" s="12" t="s">
        <v>77</v>
      </c>
      <c r="K2" s="12" t="s">
        <v>78</v>
      </c>
      <c r="L2" s="12" t="s">
        <v>79</v>
      </c>
      <c r="M2" s="12" t="s">
        <v>80</v>
      </c>
      <c r="N2" s="12" t="s">
        <v>81</v>
      </c>
      <c r="O2" s="12" t="s">
        <v>82</v>
      </c>
      <c r="P2" s="12" t="s">
        <v>366</v>
      </c>
    </row>
    <row r="3" spans="1:64" hidden="1" x14ac:dyDescent="0.25">
      <c r="A3" s="8">
        <v>10931</v>
      </c>
      <c r="B3" s="8" t="s">
        <v>22</v>
      </c>
      <c r="C3" s="7">
        <v>8900011</v>
      </c>
      <c r="D3" s="7" t="s">
        <v>254</v>
      </c>
      <c r="E3" s="7" t="s">
        <v>0</v>
      </c>
      <c r="F3" s="7" t="s">
        <v>1</v>
      </c>
      <c r="G3" t="s">
        <v>2</v>
      </c>
      <c r="H3" t="s">
        <v>3</v>
      </c>
      <c r="I3" t="s">
        <v>4</v>
      </c>
      <c r="J3" s="7">
        <v>1</v>
      </c>
      <c r="K3" s="7"/>
      <c r="L3" s="7">
        <v>1</v>
      </c>
      <c r="M3" s="7"/>
      <c r="N3" s="7">
        <v>1</v>
      </c>
      <c r="O3" s="7"/>
      <c r="P3" s="7">
        <f>SUM(J3:O3)</f>
        <v>3</v>
      </c>
    </row>
    <row r="4" spans="1:64" hidden="1" x14ac:dyDescent="0.25">
      <c r="A4" s="8">
        <v>10931</v>
      </c>
      <c r="B4" s="8" t="s">
        <v>22</v>
      </c>
      <c r="C4" s="7">
        <v>663</v>
      </c>
      <c r="D4" s="7" t="s">
        <v>255</v>
      </c>
      <c r="E4" s="7" t="s">
        <v>5</v>
      </c>
      <c r="F4" s="7" t="s">
        <v>6</v>
      </c>
      <c r="G4" t="s">
        <v>2</v>
      </c>
      <c r="H4" t="s">
        <v>3</v>
      </c>
      <c r="I4" t="s">
        <v>4</v>
      </c>
      <c r="J4" s="7"/>
      <c r="K4" s="7">
        <v>1</v>
      </c>
      <c r="L4" s="7"/>
      <c r="M4" s="7">
        <v>1</v>
      </c>
      <c r="N4" s="7"/>
      <c r="O4" s="7">
        <v>1</v>
      </c>
      <c r="P4" s="7">
        <f t="shared" ref="P4:P44" si="1">SUM(J4:O4)</f>
        <v>3</v>
      </c>
    </row>
    <row r="5" spans="1:64" hidden="1" x14ac:dyDescent="0.25">
      <c r="A5" s="8">
        <v>10931</v>
      </c>
      <c r="B5" s="8" t="s">
        <v>22</v>
      </c>
      <c r="C5" s="7">
        <v>192</v>
      </c>
      <c r="D5" s="7" t="s">
        <v>256</v>
      </c>
      <c r="E5" s="7" t="s">
        <v>7</v>
      </c>
      <c r="F5" s="7" t="s">
        <v>8</v>
      </c>
      <c r="G5" t="s">
        <v>2</v>
      </c>
      <c r="H5" t="s">
        <v>3</v>
      </c>
      <c r="I5" t="s">
        <v>4</v>
      </c>
      <c r="J5" s="7">
        <v>1</v>
      </c>
      <c r="K5" s="7"/>
      <c r="L5" s="7">
        <v>1</v>
      </c>
      <c r="M5" s="7"/>
      <c r="N5" s="9">
        <v>1</v>
      </c>
      <c r="O5" s="7"/>
      <c r="P5" s="7">
        <f t="shared" si="1"/>
        <v>3</v>
      </c>
    </row>
    <row r="6" spans="1:64" hidden="1" x14ac:dyDescent="0.25">
      <c r="A6" s="8">
        <v>10931</v>
      </c>
      <c r="B6" s="8" t="s">
        <v>22</v>
      </c>
      <c r="C6" s="7">
        <v>9345</v>
      </c>
      <c r="D6" s="7" t="s">
        <v>257</v>
      </c>
      <c r="E6" s="7" t="s">
        <v>9</v>
      </c>
      <c r="F6" s="7" t="s">
        <v>8</v>
      </c>
      <c r="G6" t="s">
        <v>2</v>
      </c>
      <c r="H6" t="s">
        <v>3</v>
      </c>
      <c r="I6" t="s">
        <v>4</v>
      </c>
      <c r="J6" s="7">
        <v>1</v>
      </c>
      <c r="K6" s="7"/>
      <c r="L6" s="7">
        <v>1</v>
      </c>
      <c r="M6" s="7"/>
      <c r="N6" s="7">
        <v>1</v>
      </c>
      <c r="O6" s="7"/>
      <c r="P6" s="7">
        <f t="shared" si="1"/>
        <v>3</v>
      </c>
    </row>
    <row r="7" spans="1:64" hidden="1" x14ac:dyDescent="0.25">
      <c r="A7" s="8">
        <v>10931</v>
      </c>
      <c r="B7" s="8" t="s">
        <v>22</v>
      </c>
      <c r="C7" s="7">
        <v>8900017</v>
      </c>
      <c r="D7" s="7" t="s">
        <v>258</v>
      </c>
      <c r="E7" s="7" t="s">
        <v>10</v>
      </c>
      <c r="F7" s="7" t="s">
        <v>11</v>
      </c>
      <c r="G7" t="s">
        <v>2</v>
      </c>
      <c r="H7" t="s">
        <v>3</v>
      </c>
      <c r="I7" t="s">
        <v>4</v>
      </c>
      <c r="J7" s="7">
        <v>1</v>
      </c>
      <c r="K7" s="7"/>
      <c r="L7" s="7">
        <v>1</v>
      </c>
      <c r="M7" s="7"/>
      <c r="N7" s="7">
        <v>1</v>
      </c>
      <c r="O7" s="7"/>
      <c r="P7" s="7">
        <f t="shared" si="1"/>
        <v>3</v>
      </c>
    </row>
    <row r="8" spans="1:64" s="5" customFormat="1" hidden="1" x14ac:dyDescent="0.25">
      <c r="A8" s="8">
        <v>10931</v>
      </c>
      <c r="B8" s="8" t="s">
        <v>22</v>
      </c>
      <c r="C8" s="8">
        <v>219</v>
      </c>
      <c r="D8" s="8" t="s">
        <v>259</v>
      </c>
      <c r="E8" s="8" t="s">
        <v>12</v>
      </c>
      <c r="F8" s="8" t="s">
        <v>13</v>
      </c>
      <c r="G8" s="6" t="s">
        <v>2</v>
      </c>
      <c r="H8" s="6" t="s">
        <v>3</v>
      </c>
      <c r="I8" s="6" t="s">
        <v>4</v>
      </c>
      <c r="J8" s="8">
        <v>1</v>
      </c>
      <c r="K8" s="8"/>
      <c r="L8" s="8"/>
      <c r="M8" s="8"/>
      <c r="N8" s="8"/>
      <c r="O8" s="8"/>
      <c r="P8" s="8">
        <f t="shared" si="1"/>
        <v>1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 spans="1:64" hidden="1" x14ac:dyDescent="0.25">
      <c r="A9" s="8">
        <v>10931</v>
      </c>
      <c r="B9" s="8" t="s">
        <v>22</v>
      </c>
      <c r="C9" s="7">
        <v>337</v>
      </c>
      <c r="D9" s="7" t="s">
        <v>260</v>
      </c>
      <c r="E9" s="7" t="s">
        <v>14</v>
      </c>
      <c r="F9" s="7" t="s">
        <v>15</v>
      </c>
      <c r="G9" t="s">
        <v>2</v>
      </c>
      <c r="H9" t="s">
        <v>3</v>
      </c>
      <c r="I9" t="s">
        <v>4</v>
      </c>
      <c r="J9" s="7"/>
      <c r="K9" s="7">
        <v>1</v>
      </c>
      <c r="L9" s="7"/>
      <c r="M9" s="7">
        <v>1</v>
      </c>
      <c r="N9" s="7"/>
      <c r="O9" s="7"/>
      <c r="P9" s="7">
        <f t="shared" si="1"/>
        <v>2</v>
      </c>
    </row>
    <row r="10" spans="1:64" hidden="1" x14ac:dyDescent="0.25">
      <c r="A10" s="8">
        <v>10931</v>
      </c>
      <c r="B10" s="8" t="s">
        <v>22</v>
      </c>
      <c r="C10" s="7">
        <v>9622</v>
      </c>
      <c r="D10" s="7" t="s">
        <v>261</v>
      </c>
      <c r="E10" s="7" t="s">
        <v>16</v>
      </c>
      <c r="F10" s="7" t="s">
        <v>17</v>
      </c>
      <c r="G10" t="s">
        <v>18</v>
      </c>
      <c r="H10" t="s">
        <v>3</v>
      </c>
      <c r="I10" t="s">
        <v>4</v>
      </c>
      <c r="J10" s="7"/>
      <c r="K10" s="7">
        <v>1</v>
      </c>
      <c r="L10" s="7"/>
      <c r="M10" s="7">
        <v>1</v>
      </c>
      <c r="N10" s="7"/>
      <c r="O10" s="7">
        <v>1</v>
      </c>
      <c r="P10" s="7">
        <f t="shared" si="1"/>
        <v>3</v>
      </c>
    </row>
    <row r="11" spans="1:64" hidden="1" x14ac:dyDescent="0.25">
      <c r="A11" s="8">
        <v>10931</v>
      </c>
      <c r="B11" s="8" t="s">
        <v>22</v>
      </c>
      <c r="C11" s="7">
        <v>11809</v>
      </c>
      <c r="D11" s="7" t="s">
        <v>262</v>
      </c>
      <c r="E11" s="7" t="s">
        <v>19</v>
      </c>
      <c r="F11" s="7" t="s">
        <v>20</v>
      </c>
      <c r="G11" t="s">
        <v>18</v>
      </c>
      <c r="H11" t="s">
        <v>3</v>
      </c>
      <c r="I11" t="s">
        <v>387</v>
      </c>
      <c r="J11" s="7"/>
      <c r="K11" s="7">
        <v>1</v>
      </c>
      <c r="L11" s="7"/>
      <c r="M11" s="7">
        <v>1</v>
      </c>
      <c r="N11" s="7"/>
      <c r="O11" s="7"/>
      <c r="P11" s="7">
        <f t="shared" si="1"/>
        <v>2</v>
      </c>
    </row>
    <row r="12" spans="1:64" s="5" customFormat="1" hidden="1" x14ac:dyDescent="0.25">
      <c r="A12" s="8">
        <v>11587</v>
      </c>
      <c r="B12" s="8" t="s">
        <v>24</v>
      </c>
      <c r="C12" s="8">
        <v>9342</v>
      </c>
      <c r="D12" s="8" t="s">
        <v>263</v>
      </c>
      <c r="E12" s="8" t="s">
        <v>25</v>
      </c>
      <c r="F12" s="8" t="s">
        <v>26</v>
      </c>
      <c r="G12" s="6" t="s">
        <v>2</v>
      </c>
      <c r="H12" s="6" t="s">
        <v>3</v>
      </c>
      <c r="I12" s="6" t="s">
        <v>4</v>
      </c>
      <c r="J12" s="9"/>
      <c r="K12" s="8"/>
      <c r="L12" s="9"/>
      <c r="M12" s="8"/>
      <c r="N12" s="8">
        <v>1</v>
      </c>
      <c r="O12" s="8"/>
      <c r="P12" s="8">
        <f t="shared" si="1"/>
        <v>1</v>
      </c>
      <c r="Q12"/>
      <c r="R12"/>
      <c r="S12"/>
      <c r="T12"/>
      <c r="U12"/>
      <c r="V12"/>
      <c r="W12"/>
    </row>
    <row r="13" spans="1:64" hidden="1" x14ac:dyDescent="0.25">
      <c r="A13" s="8">
        <v>11587</v>
      </c>
      <c r="B13" s="8" t="s">
        <v>24</v>
      </c>
      <c r="C13" s="7">
        <v>8971164</v>
      </c>
      <c r="D13" s="7" t="s">
        <v>264</v>
      </c>
      <c r="E13" s="7" t="s">
        <v>27</v>
      </c>
      <c r="F13" s="7" t="s">
        <v>28</v>
      </c>
      <c r="G13" t="s">
        <v>2</v>
      </c>
      <c r="H13" t="s">
        <v>3</v>
      </c>
      <c r="I13" t="s">
        <v>4</v>
      </c>
      <c r="J13" s="7"/>
      <c r="K13" s="7">
        <v>1</v>
      </c>
      <c r="L13" s="7"/>
      <c r="M13" s="7">
        <v>1</v>
      </c>
      <c r="N13" s="7"/>
      <c r="O13" s="7"/>
      <c r="P13" s="7">
        <f t="shared" si="1"/>
        <v>2</v>
      </c>
    </row>
    <row r="14" spans="1:64" hidden="1" x14ac:dyDescent="0.25">
      <c r="A14" s="8">
        <v>11587</v>
      </c>
      <c r="B14" s="8" t="s">
        <v>24</v>
      </c>
      <c r="C14" s="7">
        <v>8971161</v>
      </c>
      <c r="D14" s="7" t="s">
        <v>265</v>
      </c>
      <c r="E14" s="7" t="s">
        <v>29</v>
      </c>
      <c r="F14" s="7" t="s">
        <v>30</v>
      </c>
      <c r="G14" t="s">
        <v>31</v>
      </c>
      <c r="H14" t="s">
        <v>3</v>
      </c>
      <c r="I14" t="s">
        <v>4</v>
      </c>
      <c r="J14" s="7"/>
      <c r="K14" s="7">
        <v>1</v>
      </c>
      <c r="L14" s="7"/>
      <c r="M14" s="7">
        <v>1</v>
      </c>
      <c r="N14" s="7"/>
      <c r="O14" s="7"/>
      <c r="P14" s="7">
        <f t="shared" si="1"/>
        <v>2</v>
      </c>
    </row>
    <row r="15" spans="1:64" hidden="1" x14ac:dyDescent="0.25">
      <c r="A15" s="8">
        <v>11587</v>
      </c>
      <c r="B15" s="8" t="s">
        <v>24</v>
      </c>
      <c r="C15" s="7">
        <v>1034</v>
      </c>
      <c r="D15" s="7" t="s">
        <v>266</v>
      </c>
      <c r="E15" s="7" t="s">
        <v>32</v>
      </c>
      <c r="F15" s="7" t="s">
        <v>33</v>
      </c>
      <c r="G15" t="s">
        <v>2</v>
      </c>
      <c r="H15" t="s">
        <v>3</v>
      </c>
      <c r="I15" t="s">
        <v>4</v>
      </c>
      <c r="J15" s="7">
        <v>1</v>
      </c>
      <c r="K15" s="7"/>
      <c r="L15" s="7">
        <v>1</v>
      </c>
      <c r="M15" s="7"/>
      <c r="N15" s="7">
        <v>1</v>
      </c>
      <c r="O15" s="7"/>
      <c r="P15" s="7">
        <f t="shared" si="1"/>
        <v>3</v>
      </c>
    </row>
    <row r="16" spans="1:64" hidden="1" x14ac:dyDescent="0.25">
      <c r="A16" s="8">
        <v>11587</v>
      </c>
      <c r="B16" s="8" t="s">
        <v>24</v>
      </c>
      <c r="C16" s="7">
        <v>11733</v>
      </c>
      <c r="D16" s="7" t="s">
        <v>267</v>
      </c>
      <c r="E16" s="7" t="s">
        <v>34</v>
      </c>
      <c r="F16" s="7" t="s">
        <v>35</v>
      </c>
      <c r="G16" t="s">
        <v>18</v>
      </c>
      <c r="H16" t="s">
        <v>3</v>
      </c>
      <c r="I16" t="s">
        <v>4</v>
      </c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7">
        <f t="shared" si="1"/>
        <v>6</v>
      </c>
    </row>
    <row r="17" spans="1:23" hidden="1" x14ac:dyDescent="0.25">
      <c r="A17" s="8">
        <v>11678</v>
      </c>
      <c r="B17" s="8" t="s">
        <v>95</v>
      </c>
      <c r="C17" s="7">
        <v>4293</v>
      </c>
      <c r="D17" s="7" t="s">
        <v>284</v>
      </c>
      <c r="E17" s="7" t="s">
        <v>96</v>
      </c>
      <c r="F17" s="7" t="s">
        <v>55</v>
      </c>
      <c r="G17" t="s">
        <v>83</v>
      </c>
      <c r="H17" t="s">
        <v>3</v>
      </c>
      <c r="I17" t="s">
        <v>4</v>
      </c>
      <c r="J17" s="7">
        <v>1</v>
      </c>
      <c r="K17" s="7"/>
      <c r="L17" s="7">
        <v>1</v>
      </c>
      <c r="M17" s="7"/>
      <c r="N17" s="7">
        <v>1</v>
      </c>
      <c r="O17" s="7"/>
      <c r="P17" s="7">
        <f t="shared" si="1"/>
        <v>3</v>
      </c>
    </row>
    <row r="18" spans="1:23" hidden="1" x14ac:dyDescent="0.25">
      <c r="A18" s="8">
        <v>11678</v>
      </c>
      <c r="B18" s="8" t="s">
        <v>95</v>
      </c>
      <c r="C18" s="7">
        <v>8900000</v>
      </c>
      <c r="D18" s="7" t="s">
        <v>285</v>
      </c>
      <c r="E18" s="7" t="s">
        <v>97</v>
      </c>
      <c r="F18" s="7" t="s">
        <v>54</v>
      </c>
      <c r="G18" t="s">
        <v>2</v>
      </c>
      <c r="H18" t="s">
        <v>3</v>
      </c>
      <c r="I18" t="s">
        <v>4</v>
      </c>
      <c r="J18" s="7">
        <v>1</v>
      </c>
      <c r="K18" s="7"/>
      <c r="L18" s="7">
        <v>1</v>
      </c>
      <c r="M18" s="7"/>
      <c r="N18" s="7">
        <v>1</v>
      </c>
      <c r="O18" s="7"/>
      <c r="P18" s="7">
        <f t="shared" si="1"/>
        <v>3</v>
      </c>
    </row>
    <row r="19" spans="1:23" hidden="1" x14ac:dyDescent="0.25">
      <c r="A19" s="8">
        <v>11678</v>
      </c>
      <c r="B19" s="8" t="s">
        <v>95</v>
      </c>
      <c r="C19" s="7">
        <v>4458</v>
      </c>
      <c r="D19" s="7" t="s">
        <v>286</v>
      </c>
      <c r="E19" s="7" t="s">
        <v>98</v>
      </c>
      <c r="F19" s="7" t="s">
        <v>99</v>
      </c>
      <c r="G19" t="s">
        <v>2</v>
      </c>
      <c r="H19" t="s">
        <v>3</v>
      </c>
      <c r="I19" t="s">
        <v>4</v>
      </c>
      <c r="J19" s="7"/>
      <c r="K19" s="7">
        <v>1</v>
      </c>
      <c r="L19" s="7"/>
      <c r="M19" s="7">
        <v>1</v>
      </c>
      <c r="N19" s="7"/>
      <c r="O19" s="7">
        <v>1</v>
      </c>
      <c r="P19" s="7">
        <f t="shared" si="1"/>
        <v>3</v>
      </c>
    </row>
    <row r="20" spans="1:23" hidden="1" x14ac:dyDescent="0.25">
      <c r="A20" s="8">
        <v>11678</v>
      </c>
      <c r="B20" s="8" t="s">
        <v>95</v>
      </c>
      <c r="C20" s="7">
        <v>465</v>
      </c>
      <c r="D20" s="7" t="s">
        <v>287</v>
      </c>
      <c r="E20" s="7" t="s">
        <v>100</v>
      </c>
      <c r="F20" s="7" t="s">
        <v>99</v>
      </c>
      <c r="G20" t="s">
        <v>2</v>
      </c>
      <c r="H20" t="s">
        <v>3</v>
      </c>
      <c r="I20" t="s">
        <v>4</v>
      </c>
      <c r="J20" s="7"/>
      <c r="K20" s="7">
        <v>1</v>
      </c>
      <c r="L20" s="7"/>
      <c r="M20" s="7">
        <v>1</v>
      </c>
      <c r="N20" s="7"/>
      <c r="O20" s="7">
        <v>1</v>
      </c>
      <c r="P20" s="7">
        <f t="shared" si="1"/>
        <v>3</v>
      </c>
    </row>
    <row r="21" spans="1:23" hidden="1" x14ac:dyDescent="0.25">
      <c r="A21" s="8">
        <v>11678</v>
      </c>
      <c r="B21" s="8" t="s">
        <v>95</v>
      </c>
      <c r="C21" s="7">
        <v>989</v>
      </c>
      <c r="D21" s="7" t="s">
        <v>288</v>
      </c>
      <c r="E21" s="7" t="s">
        <v>101</v>
      </c>
      <c r="F21" s="7" t="s">
        <v>99</v>
      </c>
      <c r="G21" t="s">
        <v>2</v>
      </c>
      <c r="H21" t="s">
        <v>3</v>
      </c>
      <c r="I21" t="s">
        <v>4</v>
      </c>
      <c r="J21" s="7">
        <v>1</v>
      </c>
      <c r="K21" s="7"/>
      <c r="L21" s="7">
        <v>1</v>
      </c>
      <c r="M21" s="7"/>
      <c r="N21" s="7">
        <v>1</v>
      </c>
      <c r="O21" s="7"/>
      <c r="P21" s="7">
        <f t="shared" si="1"/>
        <v>3</v>
      </c>
    </row>
    <row r="22" spans="1:23" hidden="1" x14ac:dyDescent="0.25">
      <c r="A22" s="8">
        <v>11678</v>
      </c>
      <c r="B22" s="8" t="s">
        <v>95</v>
      </c>
      <c r="C22" s="7">
        <v>4202</v>
      </c>
      <c r="D22" s="7" t="s">
        <v>289</v>
      </c>
      <c r="E22" s="7" t="s">
        <v>102</v>
      </c>
      <c r="F22" s="7" t="s">
        <v>103</v>
      </c>
      <c r="G22" t="s">
        <v>2</v>
      </c>
      <c r="H22" t="s">
        <v>3</v>
      </c>
      <c r="I22" t="s">
        <v>4</v>
      </c>
      <c r="J22" s="7"/>
      <c r="K22" s="7">
        <v>1</v>
      </c>
      <c r="L22" s="7"/>
      <c r="M22" s="7">
        <v>1</v>
      </c>
      <c r="N22" s="7"/>
      <c r="O22" s="7"/>
      <c r="P22" s="7">
        <f t="shared" si="1"/>
        <v>2</v>
      </c>
    </row>
    <row r="23" spans="1:23" s="5" customFormat="1" hidden="1" x14ac:dyDescent="0.25">
      <c r="A23" s="8">
        <v>11678</v>
      </c>
      <c r="B23" s="8" t="s">
        <v>95</v>
      </c>
      <c r="C23" s="8">
        <v>186</v>
      </c>
      <c r="D23" s="8" t="s">
        <v>290</v>
      </c>
      <c r="E23" s="8" t="s">
        <v>104</v>
      </c>
      <c r="F23" s="8" t="s">
        <v>105</v>
      </c>
      <c r="G23" s="6" t="s">
        <v>2</v>
      </c>
      <c r="H23" s="6" t="s">
        <v>3</v>
      </c>
      <c r="I23" s="6" t="s">
        <v>4</v>
      </c>
      <c r="J23" s="8"/>
      <c r="K23" s="8">
        <v>1</v>
      </c>
      <c r="L23" s="8"/>
      <c r="M23" s="9"/>
      <c r="N23" s="8"/>
      <c r="O23" s="8"/>
      <c r="P23" s="8">
        <f t="shared" si="1"/>
        <v>1</v>
      </c>
      <c r="Q23"/>
      <c r="R23"/>
      <c r="S23"/>
      <c r="T23"/>
      <c r="U23"/>
      <c r="V23"/>
      <c r="W23"/>
    </row>
    <row r="24" spans="1:23" hidden="1" x14ac:dyDescent="0.25">
      <c r="A24" s="8">
        <v>11678</v>
      </c>
      <c r="B24" s="8" t="s">
        <v>95</v>
      </c>
      <c r="C24" s="7">
        <v>950</v>
      </c>
      <c r="D24" s="7" t="s">
        <v>291</v>
      </c>
      <c r="E24" s="7" t="s">
        <v>106</v>
      </c>
      <c r="F24" s="7" t="s">
        <v>105</v>
      </c>
      <c r="G24" t="s">
        <v>2</v>
      </c>
      <c r="H24" t="s">
        <v>3</v>
      </c>
      <c r="I24" t="s">
        <v>4</v>
      </c>
      <c r="J24" s="7"/>
      <c r="K24" s="7">
        <v>1</v>
      </c>
      <c r="L24" s="7"/>
      <c r="M24" s="7">
        <v>1</v>
      </c>
      <c r="N24" s="7">
        <v>1</v>
      </c>
      <c r="O24" s="7"/>
      <c r="P24" s="7">
        <f t="shared" si="1"/>
        <v>3</v>
      </c>
    </row>
    <row r="25" spans="1:23" s="5" customFormat="1" hidden="1" x14ac:dyDescent="0.25">
      <c r="A25" s="8">
        <v>11678</v>
      </c>
      <c r="B25" s="8" t="s">
        <v>95</v>
      </c>
      <c r="C25" s="8">
        <v>11825</v>
      </c>
      <c r="D25" s="8" t="s">
        <v>292</v>
      </c>
      <c r="E25" s="8" t="s">
        <v>107</v>
      </c>
      <c r="F25" s="8" t="s">
        <v>108</v>
      </c>
      <c r="G25" s="6" t="s">
        <v>18</v>
      </c>
      <c r="H25" s="6" t="s">
        <v>3</v>
      </c>
      <c r="I25" s="6" t="s">
        <v>4</v>
      </c>
      <c r="J25" s="8">
        <v>1</v>
      </c>
      <c r="K25" s="8"/>
      <c r="L25" s="9"/>
      <c r="M25" s="8"/>
      <c r="N25" s="8"/>
      <c r="O25" s="8"/>
      <c r="P25" s="8">
        <f t="shared" si="1"/>
        <v>1</v>
      </c>
      <c r="Q25"/>
      <c r="R25"/>
      <c r="S25"/>
      <c r="T25"/>
      <c r="U25"/>
      <c r="V25"/>
      <c r="W25"/>
    </row>
    <row r="26" spans="1:23" hidden="1" x14ac:dyDescent="0.25">
      <c r="A26" s="8">
        <v>11868</v>
      </c>
      <c r="B26" s="8" t="s">
        <v>115</v>
      </c>
      <c r="C26" s="7">
        <v>9487</v>
      </c>
      <c r="D26" s="7" t="s">
        <v>293</v>
      </c>
      <c r="E26" s="7" t="s">
        <v>116</v>
      </c>
      <c r="F26" s="7" t="s">
        <v>117</v>
      </c>
      <c r="G26" t="s">
        <v>2</v>
      </c>
      <c r="H26" t="s">
        <v>3</v>
      </c>
      <c r="I26" t="s">
        <v>4</v>
      </c>
      <c r="J26" s="7"/>
      <c r="K26" s="7">
        <v>1</v>
      </c>
      <c r="L26" s="7"/>
      <c r="M26" s="7">
        <v>1</v>
      </c>
      <c r="N26" s="7"/>
      <c r="O26" s="7">
        <v>1</v>
      </c>
      <c r="P26" s="7">
        <f t="shared" si="1"/>
        <v>3</v>
      </c>
    </row>
    <row r="27" spans="1:23" s="5" customFormat="1" hidden="1" x14ac:dyDescent="0.25">
      <c r="A27" s="8">
        <v>11868</v>
      </c>
      <c r="B27" s="8" t="s">
        <v>115</v>
      </c>
      <c r="C27" s="8">
        <v>557</v>
      </c>
      <c r="D27" s="8" t="s">
        <v>294</v>
      </c>
      <c r="E27" s="8" t="s">
        <v>118</v>
      </c>
      <c r="F27" s="8" t="s">
        <v>119</v>
      </c>
      <c r="G27" s="6" t="s">
        <v>2</v>
      </c>
      <c r="H27" s="6" t="s">
        <v>3</v>
      </c>
      <c r="I27" s="6" t="s">
        <v>4</v>
      </c>
      <c r="J27" s="8"/>
      <c r="K27" s="8">
        <v>1</v>
      </c>
      <c r="L27" s="8"/>
      <c r="M27" s="9"/>
      <c r="N27" s="8"/>
      <c r="O27" s="8"/>
      <c r="P27" s="8">
        <f t="shared" si="1"/>
        <v>1</v>
      </c>
      <c r="Q27"/>
      <c r="R27"/>
      <c r="S27"/>
      <c r="T27"/>
      <c r="U27"/>
      <c r="V27"/>
      <c r="W27"/>
    </row>
    <row r="28" spans="1:23" hidden="1" x14ac:dyDescent="0.25">
      <c r="A28" s="8">
        <v>11868</v>
      </c>
      <c r="B28" s="8" t="s">
        <v>115</v>
      </c>
      <c r="C28" s="7">
        <v>8971165</v>
      </c>
      <c r="D28" s="7" t="s">
        <v>295</v>
      </c>
      <c r="E28" s="7" t="s">
        <v>120</v>
      </c>
      <c r="F28" s="7" t="s">
        <v>119</v>
      </c>
      <c r="G28" t="s">
        <v>2</v>
      </c>
      <c r="H28" t="s">
        <v>3</v>
      </c>
      <c r="I28" t="s">
        <v>4</v>
      </c>
      <c r="J28" s="7"/>
      <c r="K28" s="7">
        <v>1</v>
      </c>
      <c r="L28" s="7"/>
      <c r="M28" s="7">
        <v>1</v>
      </c>
      <c r="N28" s="7"/>
      <c r="O28" s="7"/>
      <c r="P28" s="7">
        <f t="shared" si="1"/>
        <v>2</v>
      </c>
    </row>
    <row r="29" spans="1:23" hidden="1" x14ac:dyDescent="0.25">
      <c r="A29" s="8">
        <v>11868</v>
      </c>
      <c r="B29" s="8" t="s">
        <v>115</v>
      </c>
      <c r="C29" s="7">
        <v>3166</v>
      </c>
      <c r="D29" s="7" t="s">
        <v>296</v>
      </c>
      <c r="E29" s="7" t="s">
        <v>121</v>
      </c>
      <c r="F29" s="7" t="s">
        <v>122</v>
      </c>
      <c r="G29" t="s">
        <v>2</v>
      </c>
      <c r="H29" t="s">
        <v>3</v>
      </c>
      <c r="I29" t="s">
        <v>4</v>
      </c>
      <c r="J29" s="7">
        <v>1</v>
      </c>
      <c r="K29" s="7"/>
      <c r="L29" s="7">
        <v>1</v>
      </c>
      <c r="M29" s="7"/>
      <c r="N29" s="7">
        <v>1</v>
      </c>
      <c r="O29" s="7"/>
      <c r="P29" s="7">
        <f t="shared" si="1"/>
        <v>3</v>
      </c>
    </row>
    <row r="30" spans="1:23" hidden="1" x14ac:dyDescent="0.25">
      <c r="A30" s="8">
        <v>11868</v>
      </c>
      <c r="B30" s="8" t="s">
        <v>115</v>
      </c>
      <c r="C30" s="7">
        <v>8900001</v>
      </c>
      <c r="D30" s="7" t="s">
        <v>297</v>
      </c>
      <c r="E30" s="7" t="s">
        <v>123</v>
      </c>
      <c r="F30" s="7" t="s">
        <v>124</v>
      </c>
      <c r="G30" t="s">
        <v>2</v>
      </c>
      <c r="H30" t="s">
        <v>3</v>
      </c>
      <c r="I30" t="s">
        <v>4</v>
      </c>
      <c r="J30" s="7">
        <v>1</v>
      </c>
      <c r="K30" s="7"/>
      <c r="L30" s="7">
        <v>1</v>
      </c>
      <c r="M30" s="7"/>
      <c r="N30" s="7">
        <v>1</v>
      </c>
      <c r="O30" s="7"/>
      <c r="P30" s="7">
        <f t="shared" si="1"/>
        <v>3</v>
      </c>
    </row>
    <row r="31" spans="1:23" hidden="1" x14ac:dyDescent="0.25">
      <c r="A31" s="8">
        <v>11868</v>
      </c>
      <c r="B31" s="8" t="s">
        <v>115</v>
      </c>
      <c r="C31" s="7">
        <v>8971163</v>
      </c>
      <c r="D31" s="7" t="s">
        <v>298</v>
      </c>
      <c r="E31" s="7" t="s">
        <v>125</v>
      </c>
      <c r="F31" s="7" t="s">
        <v>111</v>
      </c>
      <c r="G31" t="s">
        <v>2</v>
      </c>
      <c r="H31" t="s">
        <v>3</v>
      </c>
      <c r="I31" t="s">
        <v>4</v>
      </c>
      <c r="J31" s="7"/>
      <c r="K31" s="7">
        <v>1</v>
      </c>
      <c r="L31" s="7"/>
      <c r="M31" s="7">
        <v>1</v>
      </c>
      <c r="N31" s="7"/>
      <c r="O31" s="7">
        <v>1</v>
      </c>
      <c r="P31" s="7">
        <f t="shared" si="1"/>
        <v>3</v>
      </c>
    </row>
    <row r="32" spans="1:23" hidden="1" x14ac:dyDescent="0.25">
      <c r="A32" s="8">
        <v>11868</v>
      </c>
      <c r="B32" s="8" t="s">
        <v>115</v>
      </c>
      <c r="C32" s="7">
        <v>874</v>
      </c>
      <c r="D32" s="7" t="s">
        <v>299</v>
      </c>
      <c r="E32" s="7" t="s">
        <v>126</v>
      </c>
      <c r="F32" s="7" t="s">
        <v>112</v>
      </c>
      <c r="G32" t="s">
        <v>2</v>
      </c>
      <c r="H32" t="s">
        <v>3</v>
      </c>
      <c r="I32" t="s">
        <v>4</v>
      </c>
      <c r="J32" s="7">
        <v>1</v>
      </c>
      <c r="K32" s="7"/>
      <c r="L32" s="7">
        <v>1</v>
      </c>
      <c r="M32" s="7"/>
      <c r="N32" s="7">
        <v>1</v>
      </c>
      <c r="O32" s="7"/>
      <c r="P32" s="7">
        <f t="shared" si="1"/>
        <v>3</v>
      </c>
    </row>
    <row r="33" spans="1:23" hidden="1" x14ac:dyDescent="0.25">
      <c r="A33" s="8">
        <v>11868</v>
      </c>
      <c r="B33" s="8" t="s">
        <v>115</v>
      </c>
      <c r="C33" s="7">
        <v>1043</v>
      </c>
      <c r="D33" s="7" t="s">
        <v>300</v>
      </c>
      <c r="E33" s="7" t="s">
        <v>127</v>
      </c>
      <c r="F33" s="7" t="s">
        <v>112</v>
      </c>
      <c r="G33" t="s">
        <v>2</v>
      </c>
      <c r="H33" t="s">
        <v>3</v>
      </c>
      <c r="I33" t="s">
        <v>4</v>
      </c>
      <c r="J33" s="7">
        <v>1</v>
      </c>
      <c r="K33" s="7"/>
      <c r="L33" s="7">
        <v>1</v>
      </c>
      <c r="M33" s="7"/>
      <c r="N33" s="7">
        <v>1</v>
      </c>
      <c r="O33" s="7"/>
      <c r="P33" s="7">
        <f t="shared" si="1"/>
        <v>3</v>
      </c>
    </row>
    <row r="34" spans="1:23" s="5" customFormat="1" hidden="1" x14ac:dyDescent="0.25">
      <c r="A34" s="8">
        <v>11868</v>
      </c>
      <c r="B34" s="8" t="s">
        <v>115</v>
      </c>
      <c r="C34" s="8">
        <v>879</v>
      </c>
      <c r="D34" s="8" t="s">
        <v>301</v>
      </c>
      <c r="E34" s="8" t="s">
        <v>128</v>
      </c>
      <c r="F34" s="8" t="s">
        <v>111</v>
      </c>
      <c r="G34" s="6" t="s">
        <v>85</v>
      </c>
      <c r="H34" s="6" t="s">
        <v>3</v>
      </c>
      <c r="I34" s="6" t="s">
        <v>4</v>
      </c>
      <c r="J34" s="8"/>
      <c r="K34" s="8"/>
      <c r="L34" s="8">
        <v>1</v>
      </c>
      <c r="M34" s="8"/>
      <c r="N34" s="9"/>
      <c r="O34" s="8"/>
      <c r="P34" s="8">
        <f t="shared" si="1"/>
        <v>1</v>
      </c>
      <c r="Q34"/>
      <c r="R34"/>
      <c r="S34"/>
      <c r="T34"/>
      <c r="U34"/>
      <c r="V34"/>
      <c r="W34"/>
    </row>
    <row r="35" spans="1:23" hidden="1" x14ac:dyDescent="0.25">
      <c r="A35" s="8">
        <v>11868</v>
      </c>
      <c r="B35" s="8" t="s">
        <v>115</v>
      </c>
      <c r="C35" s="7">
        <v>9602</v>
      </c>
      <c r="D35" s="7" t="s">
        <v>302</v>
      </c>
      <c r="E35" s="7" t="s">
        <v>129</v>
      </c>
      <c r="F35" s="7" t="s">
        <v>112</v>
      </c>
      <c r="G35" t="s">
        <v>18</v>
      </c>
      <c r="H35" t="s">
        <v>3</v>
      </c>
      <c r="I35" t="s">
        <v>4</v>
      </c>
      <c r="J35" s="7"/>
      <c r="K35" s="7">
        <v>1</v>
      </c>
      <c r="L35" s="7"/>
      <c r="M35" s="7">
        <v>1</v>
      </c>
      <c r="N35" s="7"/>
      <c r="O35" s="7"/>
      <c r="P35" s="7">
        <f t="shared" si="1"/>
        <v>2</v>
      </c>
    </row>
    <row r="36" spans="1:23" hidden="1" x14ac:dyDescent="0.25">
      <c r="A36" s="8">
        <v>11932</v>
      </c>
      <c r="B36" s="8" t="s">
        <v>130</v>
      </c>
      <c r="C36" s="7">
        <v>4197</v>
      </c>
      <c r="D36" s="7" t="s">
        <v>303</v>
      </c>
      <c r="E36" s="7" t="s">
        <v>131</v>
      </c>
      <c r="F36" s="7" t="s">
        <v>40</v>
      </c>
      <c r="G36" t="s">
        <v>2</v>
      </c>
      <c r="H36" t="s">
        <v>3</v>
      </c>
      <c r="I36" t="s">
        <v>4</v>
      </c>
      <c r="J36" s="7"/>
      <c r="K36" s="7">
        <v>1</v>
      </c>
      <c r="L36" s="7"/>
      <c r="M36" s="7">
        <v>1</v>
      </c>
      <c r="N36" s="7"/>
      <c r="O36" s="7"/>
      <c r="P36" s="7">
        <f t="shared" si="1"/>
        <v>2</v>
      </c>
    </row>
    <row r="37" spans="1:23" hidden="1" x14ac:dyDescent="0.25">
      <c r="A37" s="8">
        <v>11932</v>
      </c>
      <c r="B37" s="8" t="s">
        <v>130</v>
      </c>
      <c r="C37" s="7">
        <v>958</v>
      </c>
      <c r="D37" s="7" t="s">
        <v>304</v>
      </c>
      <c r="E37" s="7" t="s">
        <v>132</v>
      </c>
      <c r="F37" s="7" t="s">
        <v>40</v>
      </c>
      <c r="G37" t="s">
        <v>2</v>
      </c>
      <c r="H37" t="s">
        <v>3</v>
      </c>
      <c r="I37" t="s">
        <v>4</v>
      </c>
      <c r="J37" s="7">
        <v>1</v>
      </c>
      <c r="K37" s="7"/>
      <c r="L37" s="7">
        <v>1</v>
      </c>
      <c r="M37" s="7"/>
      <c r="N37" s="7">
        <v>1</v>
      </c>
      <c r="O37" s="7"/>
      <c r="P37" s="7">
        <f t="shared" si="1"/>
        <v>3</v>
      </c>
    </row>
    <row r="38" spans="1:23" s="5" customFormat="1" hidden="1" x14ac:dyDescent="0.25">
      <c r="A38" s="8">
        <v>11932</v>
      </c>
      <c r="B38" s="8" t="s">
        <v>130</v>
      </c>
      <c r="C38" s="8">
        <v>228</v>
      </c>
      <c r="D38" s="8" t="s">
        <v>305</v>
      </c>
      <c r="E38" s="8" t="s">
        <v>133</v>
      </c>
      <c r="F38" s="8" t="s">
        <v>55</v>
      </c>
      <c r="G38" s="6" t="s">
        <v>2</v>
      </c>
      <c r="H38" s="6" t="s">
        <v>3</v>
      </c>
      <c r="I38" s="6" t="s">
        <v>4</v>
      </c>
      <c r="J38" s="8">
        <v>1</v>
      </c>
      <c r="K38" s="8"/>
      <c r="L38" s="9"/>
      <c r="M38" s="8"/>
      <c r="N38" s="8"/>
      <c r="O38" s="8"/>
      <c r="P38" s="8">
        <f t="shared" si="1"/>
        <v>1</v>
      </c>
      <c r="Q38"/>
      <c r="R38"/>
      <c r="S38"/>
      <c r="T38"/>
      <c r="U38"/>
      <c r="V38"/>
      <c r="W38"/>
    </row>
    <row r="39" spans="1:23" hidden="1" x14ac:dyDescent="0.25">
      <c r="A39" s="8">
        <v>11932</v>
      </c>
      <c r="B39" s="8" t="s">
        <v>130</v>
      </c>
      <c r="C39" s="7">
        <v>967</v>
      </c>
      <c r="D39" s="7" t="s">
        <v>306</v>
      </c>
      <c r="E39" s="7" t="s">
        <v>134</v>
      </c>
      <c r="F39" s="7" t="s">
        <v>55</v>
      </c>
      <c r="G39" t="s">
        <v>2</v>
      </c>
      <c r="H39" t="s">
        <v>3</v>
      </c>
      <c r="I39" t="s">
        <v>4</v>
      </c>
      <c r="J39" s="7">
        <v>1</v>
      </c>
      <c r="K39" s="7"/>
      <c r="L39" s="7">
        <v>1</v>
      </c>
      <c r="M39" s="7"/>
      <c r="N39" s="7">
        <v>1</v>
      </c>
      <c r="O39" s="7"/>
      <c r="P39" s="7">
        <f t="shared" si="1"/>
        <v>3</v>
      </c>
    </row>
    <row r="40" spans="1:23" hidden="1" x14ac:dyDescent="0.25">
      <c r="A40" s="8">
        <v>11932</v>
      </c>
      <c r="B40" s="8" t="s">
        <v>130</v>
      </c>
      <c r="C40" s="7">
        <v>9339</v>
      </c>
      <c r="D40" s="7" t="s">
        <v>307</v>
      </c>
      <c r="E40" s="7" t="s">
        <v>135</v>
      </c>
      <c r="F40" s="7" t="s">
        <v>56</v>
      </c>
      <c r="G40" t="s">
        <v>2</v>
      </c>
      <c r="H40" t="s">
        <v>3</v>
      </c>
      <c r="I40" t="s">
        <v>4</v>
      </c>
      <c r="J40" s="7">
        <v>1</v>
      </c>
      <c r="K40" s="7"/>
      <c r="L40" s="7">
        <v>1</v>
      </c>
      <c r="M40" s="7"/>
      <c r="N40" s="7">
        <v>1</v>
      </c>
      <c r="O40" s="7"/>
      <c r="P40" s="7">
        <f t="shared" si="1"/>
        <v>3</v>
      </c>
    </row>
    <row r="41" spans="1:23" hidden="1" x14ac:dyDescent="0.25">
      <c r="A41" s="8">
        <v>11932</v>
      </c>
      <c r="B41" s="8" t="s">
        <v>130</v>
      </c>
      <c r="C41" s="7">
        <v>4141</v>
      </c>
      <c r="D41" s="7" t="s">
        <v>308</v>
      </c>
      <c r="E41" s="7" t="s">
        <v>136</v>
      </c>
      <c r="F41" s="7" t="s">
        <v>53</v>
      </c>
      <c r="G41" t="s">
        <v>2</v>
      </c>
      <c r="H41" t="s">
        <v>3</v>
      </c>
      <c r="I41" t="s">
        <v>4</v>
      </c>
      <c r="J41" s="7"/>
      <c r="K41" s="7">
        <v>1</v>
      </c>
      <c r="L41" s="7"/>
      <c r="M41" s="7">
        <v>1</v>
      </c>
      <c r="N41" s="7"/>
      <c r="O41" s="7">
        <v>1</v>
      </c>
      <c r="P41" s="7">
        <f t="shared" si="1"/>
        <v>3</v>
      </c>
    </row>
    <row r="42" spans="1:23" hidden="1" x14ac:dyDescent="0.25">
      <c r="A42" s="8">
        <v>11932</v>
      </c>
      <c r="B42" s="8" t="s">
        <v>130</v>
      </c>
      <c r="C42" s="7">
        <v>3815</v>
      </c>
      <c r="D42" s="7" t="s">
        <v>309</v>
      </c>
      <c r="E42" s="7" t="s">
        <v>137</v>
      </c>
      <c r="F42" s="7" t="s">
        <v>138</v>
      </c>
      <c r="G42" t="s">
        <v>2</v>
      </c>
      <c r="H42" t="s">
        <v>3</v>
      </c>
      <c r="I42" t="s">
        <v>4</v>
      </c>
      <c r="J42" s="7"/>
      <c r="K42" s="7">
        <v>1</v>
      </c>
      <c r="L42" s="7"/>
      <c r="M42" s="7">
        <v>1</v>
      </c>
      <c r="N42" s="7"/>
      <c r="O42" s="7"/>
      <c r="P42" s="7">
        <f t="shared" si="1"/>
        <v>2</v>
      </c>
    </row>
    <row r="43" spans="1:23" hidden="1" x14ac:dyDescent="0.25">
      <c r="A43" s="8">
        <v>11932</v>
      </c>
      <c r="B43" s="8" t="s">
        <v>130</v>
      </c>
      <c r="C43" s="7">
        <v>3616</v>
      </c>
      <c r="D43" s="7" t="s">
        <v>310</v>
      </c>
      <c r="E43" s="7" t="s">
        <v>139</v>
      </c>
      <c r="F43" s="7" t="s">
        <v>140</v>
      </c>
      <c r="G43" t="s">
        <v>2</v>
      </c>
      <c r="H43" t="s">
        <v>3</v>
      </c>
      <c r="I43" t="s">
        <v>4</v>
      </c>
      <c r="J43" s="7"/>
      <c r="K43" s="7"/>
      <c r="L43" s="7"/>
      <c r="M43" s="7"/>
      <c r="N43" s="7"/>
      <c r="O43" s="7">
        <v>1</v>
      </c>
      <c r="P43" s="7">
        <f t="shared" si="1"/>
        <v>1</v>
      </c>
    </row>
    <row r="44" spans="1:23" hidden="1" x14ac:dyDescent="0.25">
      <c r="A44" s="8">
        <v>11932</v>
      </c>
      <c r="B44" s="8" t="s">
        <v>130</v>
      </c>
      <c r="C44" s="7">
        <v>10946</v>
      </c>
      <c r="D44" s="7" t="s">
        <v>311</v>
      </c>
      <c r="E44" s="7" t="s">
        <v>141</v>
      </c>
      <c r="F44" s="7" t="s">
        <v>55</v>
      </c>
      <c r="G44" t="s">
        <v>18</v>
      </c>
      <c r="H44" t="s">
        <v>3</v>
      </c>
      <c r="I44" t="s">
        <v>4</v>
      </c>
      <c r="J44" s="7"/>
      <c r="K44" s="7">
        <v>1</v>
      </c>
      <c r="L44" s="7"/>
      <c r="M44" s="7">
        <v>1</v>
      </c>
      <c r="N44" s="7"/>
      <c r="O44" s="7"/>
      <c r="P44" s="7">
        <f t="shared" si="1"/>
        <v>2</v>
      </c>
    </row>
    <row r="45" spans="1:23" s="5" customFormat="1" hidden="1" x14ac:dyDescent="0.25">
      <c r="A45" s="8">
        <v>12079</v>
      </c>
      <c r="B45" s="8" t="s">
        <v>186</v>
      </c>
      <c r="C45" s="8">
        <v>4394</v>
      </c>
      <c r="D45" s="8" t="s">
        <v>335</v>
      </c>
      <c r="E45" s="8" t="s">
        <v>187</v>
      </c>
      <c r="F45" s="8" t="s">
        <v>40</v>
      </c>
      <c r="G45" s="6" t="s">
        <v>2</v>
      </c>
      <c r="H45" s="6" t="s">
        <v>3</v>
      </c>
      <c r="I45" s="6" t="s">
        <v>4</v>
      </c>
      <c r="J45" s="9"/>
      <c r="K45" s="8"/>
      <c r="L45" s="8"/>
      <c r="M45" s="8"/>
      <c r="N45" s="8">
        <v>1</v>
      </c>
      <c r="O45" s="8"/>
      <c r="P45" s="8">
        <f t="shared" ref="P45:P76" si="2">SUM(J45:O45)</f>
        <v>1</v>
      </c>
      <c r="Q45"/>
      <c r="R45"/>
      <c r="S45"/>
      <c r="T45"/>
      <c r="U45"/>
      <c r="V45"/>
      <c r="W45"/>
    </row>
    <row r="46" spans="1:23" s="5" customFormat="1" hidden="1" x14ac:dyDescent="0.25">
      <c r="A46" s="8">
        <v>12079</v>
      </c>
      <c r="B46" s="8" t="s">
        <v>186</v>
      </c>
      <c r="C46" s="8">
        <v>179</v>
      </c>
      <c r="D46" s="8" t="s">
        <v>336</v>
      </c>
      <c r="E46" s="8" t="s">
        <v>188</v>
      </c>
      <c r="F46" s="8" t="s">
        <v>189</v>
      </c>
      <c r="G46" s="6" t="s">
        <v>2</v>
      </c>
      <c r="H46" s="6" t="s">
        <v>3</v>
      </c>
      <c r="I46" s="6" t="s">
        <v>4</v>
      </c>
      <c r="J46" s="8">
        <v>1</v>
      </c>
      <c r="K46" s="8"/>
      <c r="L46" s="8">
        <v>1</v>
      </c>
      <c r="M46" s="8"/>
      <c r="N46" s="8"/>
      <c r="O46" s="8"/>
      <c r="P46" s="8">
        <f t="shared" si="2"/>
        <v>2</v>
      </c>
      <c r="Q46"/>
      <c r="R46"/>
      <c r="S46"/>
      <c r="T46"/>
      <c r="U46"/>
      <c r="V46"/>
      <c r="W46"/>
    </row>
    <row r="47" spans="1:23" hidden="1" x14ac:dyDescent="0.25">
      <c r="A47" s="8">
        <v>12079</v>
      </c>
      <c r="B47" s="8" t="s">
        <v>186</v>
      </c>
      <c r="C47" s="7">
        <v>8900006</v>
      </c>
      <c r="D47" s="7" t="s">
        <v>337</v>
      </c>
      <c r="E47" s="7" t="s">
        <v>190</v>
      </c>
      <c r="F47" s="7" t="s">
        <v>191</v>
      </c>
      <c r="G47" t="s">
        <v>2</v>
      </c>
      <c r="H47" t="s">
        <v>3</v>
      </c>
      <c r="I47" t="s">
        <v>4</v>
      </c>
      <c r="J47" s="7">
        <v>1</v>
      </c>
      <c r="K47" s="7"/>
      <c r="L47" s="7">
        <v>1</v>
      </c>
      <c r="M47" s="7"/>
      <c r="N47" s="7">
        <v>1</v>
      </c>
      <c r="O47" s="7"/>
      <c r="P47" s="7">
        <f t="shared" si="2"/>
        <v>3</v>
      </c>
    </row>
    <row r="48" spans="1:23" hidden="1" x14ac:dyDescent="0.25">
      <c r="A48" s="8">
        <v>12079</v>
      </c>
      <c r="B48" s="8" t="s">
        <v>186</v>
      </c>
      <c r="C48" s="7">
        <v>972</v>
      </c>
      <c r="D48" s="7" t="s">
        <v>338</v>
      </c>
      <c r="E48" s="7" t="s">
        <v>192</v>
      </c>
      <c r="F48" s="7" t="s">
        <v>191</v>
      </c>
      <c r="G48" t="s">
        <v>2</v>
      </c>
      <c r="H48" t="s">
        <v>3</v>
      </c>
      <c r="I48" t="s">
        <v>4</v>
      </c>
      <c r="J48" s="7">
        <v>1</v>
      </c>
      <c r="K48" s="7"/>
      <c r="L48" s="7">
        <v>1</v>
      </c>
      <c r="M48" s="7"/>
      <c r="N48" s="7">
        <v>1</v>
      </c>
      <c r="O48" s="7"/>
      <c r="P48" s="7">
        <f t="shared" si="2"/>
        <v>3</v>
      </c>
    </row>
    <row r="49" spans="1:23" hidden="1" x14ac:dyDescent="0.25">
      <c r="A49" s="8">
        <v>12079</v>
      </c>
      <c r="B49" s="8" t="s">
        <v>186</v>
      </c>
      <c r="C49" s="7">
        <v>4271</v>
      </c>
      <c r="D49" s="7" t="s">
        <v>339</v>
      </c>
      <c r="E49" s="7" t="s">
        <v>193</v>
      </c>
      <c r="F49" s="7" t="s">
        <v>191</v>
      </c>
      <c r="G49" t="s">
        <v>2</v>
      </c>
      <c r="H49" t="s">
        <v>3</v>
      </c>
      <c r="I49" t="s">
        <v>4</v>
      </c>
      <c r="J49" s="7"/>
      <c r="K49" s="7">
        <v>1</v>
      </c>
      <c r="L49" s="7"/>
      <c r="M49" s="7"/>
      <c r="N49" s="7"/>
      <c r="O49" s="7"/>
      <c r="P49" s="7">
        <f t="shared" si="2"/>
        <v>1</v>
      </c>
    </row>
    <row r="50" spans="1:23" hidden="1" x14ac:dyDescent="0.25">
      <c r="A50" s="8">
        <v>12079</v>
      </c>
      <c r="B50" s="8" t="s">
        <v>186</v>
      </c>
      <c r="C50" s="7">
        <v>224</v>
      </c>
      <c r="D50" s="7" t="s">
        <v>340</v>
      </c>
      <c r="E50" s="7" t="s">
        <v>194</v>
      </c>
      <c r="F50" s="7" t="s">
        <v>191</v>
      </c>
      <c r="G50" t="s">
        <v>2</v>
      </c>
      <c r="H50" t="s">
        <v>3</v>
      </c>
      <c r="I50" t="s">
        <v>4</v>
      </c>
      <c r="J50" s="7">
        <v>1</v>
      </c>
      <c r="K50" s="7"/>
      <c r="L50" s="7">
        <v>1</v>
      </c>
      <c r="M50" s="7"/>
      <c r="N50" s="7">
        <v>1</v>
      </c>
      <c r="O50" s="7"/>
      <c r="P50" s="7">
        <f t="shared" si="2"/>
        <v>3</v>
      </c>
    </row>
    <row r="51" spans="1:23" hidden="1" x14ac:dyDescent="0.25">
      <c r="A51" s="8">
        <v>12079</v>
      </c>
      <c r="B51" s="8" t="s">
        <v>186</v>
      </c>
      <c r="C51" s="7">
        <v>3533</v>
      </c>
      <c r="D51" s="7" t="s">
        <v>341</v>
      </c>
      <c r="E51" s="7" t="s">
        <v>195</v>
      </c>
      <c r="F51" s="7" t="s">
        <v>196</v>
      </c>
      <c r="G51" t="s">
        <v>2</v>
      </c>
      <c r="H51" t="s">
        <v>3</v>
      </c>
      <c r="I51" t="s">
        <v>4</v>
      </c>
      <c r="J51" s="7"/>
      <c r="K51" s="7"/>
      <c r="L51" s="7">
        <v>1</v>
      </c>
      <c r="M51" s="7"/>
      <c r="N51" s="7"/>
      <c r="O51" s="7"/>
      <c r="P51" s="7">
        <f t="shared" si="2"/>
        <v>1</v>
      </c>
    </row>
    <row r="52" spans="1:23" s="5" customFormat="1" hidden="1" x14ac:dyDescent="0.25">
      <c r="A52" s="8">
        <v>12079</v>
      </c>
      <c r="B52" s="8" t="s">
        <v>186</v>
      </c>
      <c r="C52" s="8">
        <v>233</v>
      </c>
      <c r="D52" s="8" t="s">
        <v>342</v>
      </c>
      <c r="E52" s="8" t="s">
        <v>197</v>
      </c>
      <c r="F52" s="8" t="s">
        <v>198</v>
      </c>
      <c r="G52" s="6" t="s">
        <v>2</v>
      </c>
      <c r="H52" s="6" t="s">
        <v>3</v>
      </c>
      <c r="I52" s="6" t="s">
        <v>4</v>
      </c>
      <c r="J52" s="8"/>
      <c r="K52" s="9"/>
      <c r="L52" s="8"/>
      <c r="M52" s="8">
        <v>1</v>
      </c>
      <c r="N52" s="8"/>
      <c r="O52" s="8"/>
      <c r="P52" s="8">
        <f t="shared" si="2"/>
        <v>1</v>
      </c>
      <c r="Q52"/>
      <c r="R52"/>
      <c r="S52"/>
      <c r="T52"/>
      <c r="U52"/>
      <c r="V52"/>
      <c r="W52"/>
    </row>
    <row r="53" spans="1:23" hidden="1" x14ac:dyDescent="0.25">
      <c r="A53" s="8">
        <v>12079</v>
      </c>
      <c r="B53" s="8" t="s">
        <v>186</v>
      </c>
      <c r="C53" s="7">
        <v>4284</v>
      </c>
      <c r="D53" s="7" t="s">
        <v>343</v>
      </c>
      <c r="E53" s="7" t="s">
        <v>199</v>
      </c>
      <c r="F53" s="7" t="s">
        <v>198</v>
      </c>
      <c r="G53" t="s">
        <v>2</v>
      </c>
      <c r="H53" t="s">
        <v>3</v>
      </c>
      <c r="I53" t="s">
        <v>4</v>
      </c>
      <c r="J53" s="7"/>
      <c r="K53" s="7"/>
      <c r="L53" s="7"/>
      <c r="M53" s="7">
        <v>1</v>
      </c>
      <c r="N53" s="7"/>
      <c r="O53" s="7"/>
      <c r="P53" s="7">
        <f t="shared" si="2"/>
        <v>1</v>
      </c>
    </row>
    <row r="54" spans="1:23" hidden="1" x14ac:dyDescent="0.25">
      <c r="A54" s="8">
        <v>12079</v>
      </c>
      <c r="B54" s="8" t="s">
        <v>186</v>
      </c>
      <c r="C54" s="7">
        <v>4522</v>
      </c>
      <c r="D54" s="7" t="s">
        <v>344</v>
      </c>
      <c r="E54" s="7" t="s">
        <v>200</v>
      </c>
      <c r="F54" s="7" t="s">
        <v>201</v>
      </c>
      <c r="G54" t="s">
        <v>2</v>
      </c>
      <c r="H54" t="s">
        <v>3</v>
      </c>
      <c r="I54" t="s">
        <v>4</v>
      </c>
      <c r="J54" s="7"/>
      <c r="K54" s="7">
        <v>1</v>
      </c>
      <c r="L54" s="7"/>
      <c r="M54" s="7">
        <v>1</v>
      </c>
      <c r="N54" s="7"/>
      <c r="O54" s="7">
        <v>1</v>
      </c>
      <c r="P54" s="7">
        <f t="shared" si="2"/>
        <v>3</v>
      </c>
    </row>
    <row r="55" spans="1:23" hidden="1" x14ac:dyDescent="0.25">
      <c r="A55" s="8">
        <v>12079</v>
      </c>
      <c r="B55" s="8" t="s">
        <v>186</v>
      </c>
      <c r="C55" s="7">
        <v>8900007</v>
      </c>
      <c r="D55" s="7" t="s">
        <v>345</v>
      </c>
      <c r="E55" s="7" t="s">
        <v>202</v>
      </c>
      <c r="F55" s="7" t="s">
        <v>203</v>
      </c>
      <c r="G55" t="s">
        <v>2</v>
      </c>
      <c r="H55" t="s">
        <v>3</v>
      </c>
      <c r="I55" t="s">
        <v>4</v>
      </c>
      <c r="J55" s="7"/>
      <c r="K55" s="7">
        <v>1</v>
      </c>
      <c r="L55" s="7"/>
      <c r="M55" s="7">
        <v>1</v>
      </c>
      <c r="N55" s="7"/>
      <c r="O55" s="7">
        <v>1</v>
      </c>
      <c r="P55" s="7">
        <f t="shared" si="2"/>
        <v>3</v>
      </c>
    </row>
    <row r="56" spans="1:23" hidden="1" x14ac:dyDescent="0.25">
      <c r="A56" s="8">
        <v>12079</v>
      </c>
      <c r="B56" s="8" t="s">
        <v>186</v>
      </c>
      <c r="C56" s="7">
        <v>8900019</v>
      </c>
      <c r="D56" s="7" t="s">
        <v>346</v>
      </c>
      <c r="E56" s="7" t="s">
        <v>204</v>
      </c>
      <c r="F56" s="7" t="s">
        <v>161</v>
      </c>
      <c r="G56" t="s">
        <v>2</v>
      </c>
      <c r="H56" t="s">
        <v>3</v>
      </c>
      <c r="I56" t="s">
        <v>4</v>
      </c>
      <c r="J56" s="7"/>
      <c r="K56" s="7">
        <v>1</v>
      </c>
      <c r="L56" s="7"/>
      <c r="M56" s="7">
        <v>1</v>
      </c>
      <c r="N56" s="7"/>
      <c r="O56" s="7"/>
      <c r="P56" s="7">
        <f t="shared" si="2"/>
        <v>2</v>
      </c>
    </row>
    <row r="57" spans="1:23" x14ac:dyDescent="0.25">
      <c r="A57" s="8">
        <v>12108</v>
      </c>
      <c r="B57" s="8" t="s">
        <v>217</v>
      </c>
      <c r="C57" s="7">
        <v>196</v>
      </c>
      <c r="D57" s="7" t="s">
        <v>361</v>
      </c>
      <c r="E57" s="7" t="s">
        <v>218</v>
      </c>
      <c r="F57" s="7" t="s">
        <v>219</v>
      </c>
      <c r="G57" t="s">
        <v>2</v>
      </c>
      <c r="H57" t="s">
        <v>3</v>
      </c>
      <c r="I57" t="s">
        <v>4</v>
      </c>
      <c r="J57" s="7"/>
      <c r="K57" s="7">
        <v>1</v>
      </c>
      <c r="L57" s="7"/>
      <c r="M57" s="7">
        <v>1</v>
      </c>
      <c r="N57" s="7"/>
      <c r="O57" s="7"/>
      <c r="P57" s="7">
        <f t="shared" si="2"/>
        <v>2</v>
      </c>
    </row>
    <row r="58" spans="1:23" x14ac:dyDescent="0.25">
      <c r="A58" s="8">
        <v>12108</v>
      </c>
      <c r="B58" s="8" t="s">
        <v>217</v>
      </c>
      <c r="C58" s="7">
        <v>197</v>
      </c>
      <c r="D58" s="7" t="s">
        <v>362</v>
      </c>
      <c r="E58" s="7" t="s">
        <v>220</v>
      </c>
      <c r="F58" s="7" t="s">
        <v>221</v>
      </c>
      <c r="G58" t="s">
        <v>2</v>
      </c>
      <c r="H58" t="s">
        <v>3</v>
      </c>
      <c r="I58" t="s">
        <v>4</v>
      </c>
      <c r="J58" s="7"/>
      <c r="K58" s="7"/>
      <c r="L58" s="7">
        <v>1</v>
      </c>
      <c r="M58" s="7"/>
      <c r="N58" s="7"/>
      <c r="O58" s="7"/>
      <c r="P58" s="7">
        <f t="shared" si="2"/>
        <v>1</v>
      </c>
    </row>
    <row r="59" spans="1:23" x14ac:dyDescent="0.25">
      <c r="A59" s="8">
        <v>12108</v>
      </c>
      <c r="B59" s="8" t="s">
        <v>217</v>
      </c>
      <c r="C59" s="7">
        <v>8900004</v>
      </c>
      <c r="D59" s="7" t="s">
        <v>363</v>
      </c>
      <c r="E59" s="7" t="s">
        <v>222</v>
      </c>
      <c r="F59" s="7" t="s">
        <v>57</v>
      </c>
      <c r="G59" t="s">
        <v>2</v>
      </c>
      <c r="H59" t="s">
        <v>3</v>
      </c>
      <c r="I59" t="s">
        <v>4</v>
      </c>
      <c r="J59" s="7"/>
      <c r="K59" s="7">
        <v>1</v>
      </c>
      <c r="L59" s="7"/>
      <c r="M59" s="7">
        <v>1</v>
      </c>
      <c r="N59" s="7"/>
      <c r="O59" s="7">
        <v>1</v>
      </c>
      <c r="P59" s="7">
        <f t="shared" si="2"/>
        <v>3</v>
      </c>
    </row>
    <row r="60" spans="1:23" x14ac:dyDescent="0.25">
      <c r="A60" s="8">
        <v>12108</v>
      </c>
      <c r="B60" s="8" t="s">
        <v>217</v>
      </c>
      <c r="C60" s="7">
        <v>8900016</v>
      </c>
      <c r="D60" s="7" t="s">
        <v>364</v>
      </c>
      <c r="E60" s="7" t="s">
        <v>223</v>
      </c>
      <c r="F60" s="7" t="s">
        <v>224</v>
      </c>
      <c r="G60" t="s">
        <v>2</v>
      </c>
      <c r="H60" t="s">
        <v>3</v>
      </c>
      <c r="I60" t="s">
        <v>4</v>
      </c>
      <c r="J60" s="7"/>
      <c r="K60" s="7">
        <v>1</v>
      </c>
      <c r="L60" s="7"/>
      <c r="M60" s="7">
        <v>1</v>
      </c>
      <c r="N60" s="7"/>
      <c r="O60" s="7">
        <v>1</v>
      </c>
      <c r="P60" s="7">
        <f t="shared" si="2"/>
        <v>3</v>
      </c>
    </row>
    <row r="61" spans="1:23" x14ac:dyDescent="0.25">
      <c r="A61" s="8">
        <v>12108</v>
      </c>
      <c r="B61" s="8" t="s">
        <v>217</v>
      </c>
      <c r="C61" s="7">
        <v>4803</v>
      </c>
      <c r="D61" s="7" t="s">
        <v>367</v>
      </c>
      <c r="E61" s="7" t="s">
        <v>225</v>
      </c>
      <c r="F61" s="7" t="s">
        <v>226</v>
      </c>
      <c r="G61" t="s">
        <v>2</v>
      </c>
      <c r="H61" t="s">
        <v>3</v>
      </c>
      <c r="I61" t="s">
        <v>4</v>
      </c>
      <c r="J61" s="7">
        <v>1</v>
      </c>
      <c r="K61" s="7"/>
      <c r="L61" s="7">
        <v>1</v>
      </c>
      <c r="M61" s="7"/>
      <c r="N61" s="7">
        <v>1</v>
      </c>
      <c r="O61" s="7"/>
      <c r="P61" s="7">
        <f t="shared" si="2"/>
        <v>3</v>
      </c>
    </row>
    <row r="62" spans="1:23" x14ac:dyDescent="0.25">
      <c r="A62" s="8">
        <v>12108</v>
      </c>
      <c r="B62" s="8" t="s">
        <v>217</v>
      </c>
      <c r="C62" s="7">
        <v>182</v>
      </c>
      <c r="D62" s="7" t="s">
        <v>368</v>
      </c>
      <c r="E62" s="7" t="s">
        <v>227</v>
      </c>
      <c r="F62" s="7" t="s">
        <v>226</v>
      </c>
      <c r="G62" t="s">
        <v>2</v>
      </c>
      <c r="H62" t="s">
        <v>3</v>
      </c>
      <c r="I62" t="s">
        <v>4</v>
      </c>
      <c r="J62" s="7"/>
      <c r="K62" s="7">
        <v>1</v>
      </c>
      <c r="L62" s="7"/>
      <c r="M62" s="7">
        <v>1</v>
      </c>
      <c r="N62" s="7">
        <v>1</v>
      </c>
      <c r="O62" s="7"/>
      <c r="P62" s="7">
        <f t="shared" si="2"/>
        <v>3</v>
      </c>
    </row>
    <row r="63" spans="1:23" s="5" customFormat="1" x14ac:dyDescent="0.25">
      <c r="A63" s="8">
        <v>12108</v>
      </c>
      <c r="B63" s="8" t="s">
        <v>217</v>
      </c>
      <c r="C63" s="8">
        <v>902</v>
      </c>
      <c r="D63" s="8" t="s">
        <v>369</v>
      </c>
      <c r="E63" s="8" t="s">
        <v>228</v>
      </c>
      <c r="F63" s="8" t="s">
        <v>185</v>
      </c>
      <c r="G63" s="6" t="s">
        <v>2</v>
      </c>
      <c r="H63" s="6" t="s">
        <v>3</v>
      </c>
      <c r="I63" s="6" t="s">
        <v>4</v>
      </c>
      <c r="J63" s="8">
        <v>1</v>
      </c>
      <c r="K63" s="8"/>
      <c r="L63" s="9"/>
      <c r="M63" s="8"/>
      <c r="N63" s="8"/>
      <c r="O63" s="8"/>
      <c r="P63" s="8">
        <f t="shared" si="2"/>
        <v>1</v>
      </c>
    </row>
    <row r="64" spans="1:23" s="6" customFormat="1" x14ac:dyDescent="0.25">
      <c r="A64" s="8">
        <v>12108</v>
      </c>
      <c r="B64" s="8" t="s">
        <v>217</v>
      </c>
      <c r="C64" s="8">
        <v>203</v>
      </c>
      <c r="D64" s="8" t="s">
        <v>370</v>
      </c>
      <c r="E64" s="8" t="s">
        <v>229</v>
      </c>
      <c r="F64" s="8" t="s">
        <v>230</v>
      </c>
      <c r="G64" s="6" t="s">
        <v>2</v>
      </c>
      <c r="H64" s="6" t="s">
        <v>3</v>
      </c>
      <c r="I64" s="6" t="s">
        <v>4</v>
      </c>
      <c r="J64" s="8"/>
      <c r="K64" s="8"/>
      <c r="L64" s="8"/>
      <c r="M64" s="8"/>
      <c r="N64" s="8">
        <v>1</v>
      </c>
      <c r="O64" s="8"/>
      <c r="P64" s="8">
        <f t="shared" si="2"/>
        <v>1</v>
      </c>
    </row>
    <row r="65" spans="1:42" x14ac:dyDescent="0.25">
      <c r="A65" s="8">
        <v>12108</v>
      </c>
      <c r="B65" s="8" t="s">
        <v>217</v>
      </c>
      <c r="C65" s="7">
        <v>4221</v>
      </c>
      <c r="D65" s="7" t="s">
        <v>371</v>
      </c>
      <c r="E65" s="7" t="s">
        <v>231</v>
      </c>
      <c r="F65" s="7" t="s">
        <v>230</v>
      </c>
      <c r="G65" t="s">
        <v>2</v>
      </c>
      <c r="H65" t="s">
        <v>3</v>
      </c>
      <c r="I65" t="s">
        <v>4</v>
      </c>
      <c r="J65" s="7"/>
      <c r="K65" s="7"/>
      <c r="L65" s="7"/>
      <c r="M65" s="7">
        <v>1</v>
      </c>
      <c r="N65" s="7"/>
      <c r="O65" s="7"/>
      <c r="P65" s="7">
        <f t="shared" si="2"/>
        <v>1</v>
      </c>
    </row>
    <row r="66" spans="1:42" x14ac:dyDescent="0.25">
      <c r="A66" s="8">
        <v>12108</v>
      </c>
      <c r="B66" s="8" t="s">
        <v>217</v>
      </c>
      <c r="C66" s="7">
        <v>9631</v>
      </c>
      <c r="D66" s="7" t="s">
        <v>372</v>
      </c>
      <c r="E66" s="7" t="s">
        <v>232</v>
      </c>
      <c r="F66" s="7" t="s">
        <v>58</v>
      </c>
      <c r="G66" t="s">
        <v>18</v>
      </c>
      <c r="H66" t="s">
        <v>3</v>
      </c>
      <c r="I66" t="s">
        <v>4</v>
      </c>
      <c r="J66" s="7">
        <v>1</v>
      </c>
      <c r="K66" s="7"/>
      <c r="L66" s="7">
        <v>1</v>
      </c>
      <c r="M66" s="7"/>
      <c r="N66" s="7">
        <v>1</v>
      </c>
      <c r="O66" s="7"/>
      <c r="P66" s="7">
        <f t="shared" si="2"/>
        <v>3</v>
      </c>
    </row>
    <row r="67" spans="1:42" hidden="1" x14ac:dyDescent="0.25">
      <c r="A67" s="8">
        <v>12087</v>
      </c>
      <c r="B67" s="8" t="s">
        <v>233</v>
      </c>
      <c r="C67" s="7">
        <v>8900015</v>
      </c>
      <c r="D67" s="7" t="s">
        <v>365</v>
      </c>
      <c r="E67" s="7" t="s">
        <v>234</v>
      </c>
      <c r="F67" s="7" t="s">
        <v>110</v>
      </c>
      <c r="G67" t="s">
        <v>2</v>
      </c>
      <c r="H67" t="s">
        <v>3</v>
      </c>
      <c r="I67" t="s">
        <v>4</v>
      </c>
      <c r="J67" s="7">
        <v>1</v>
      </c>
      <c r="K67" s="7"/>
      <c r="L67" s="7">
        <v>1</v>
      </c>
      <c r="M67" s="7"/>
      <c r="N67" s="7">
        <v>1</v>
      </c>
      <c r="O67" s="7">
        <v>1</v>
      </c>
      <c r="P67" s="7">
        <f t="shared" si="2"/>
        <v>4</v>
      </c>
    </row>
    <row r="68" spans="1:42" hidden="1" x14ac:dyDescent="0.25">
      <c r="A68" s="8">
        <v>12087</v>
      </c>
      <c r="B68" s="8" t="s">
        <v>233</v>
      </c>
      <c r="C68" s="7">
        <v>1006</v>
      </c>
      <c r="D68" s="7" t="s">
        <v>373</v>
      </c>
      <c r="E68" s="7" t="s">
        <v>235</v>
      </c>
      <c r="F68" s="7" t="s">
        <v>110</v>
      </c>
      <c r="G68" t="s">
        <v>2</v>
      </c>
      <c r="H68" t="s">
        <v>3</v>
      </c>
      <c r="I68" t="s">
        <v>4</v>
      </c>
      <c r="J68" s="7">
        <v>1</v>
      </c>
      <c r="K68" s="7"/>
      <c r="L68" s="7">
        <v>1</v>
      </c>
      <c r="M68" s="7"/>
      <c r="N68" s="7">
        <v>1</v>
      </c>
      <c r="O68" s="7"/>
      <c r="P68" s="7">
        <f t="shared" si="2"/>
        <v>3</v>
      </c>
    </row>
    <row r="69" spans="1:42" hidden="1" x14ac:dyDescent="0.25">
      <c r="A69" s="8">
        <v>12087</v>
      </c>
      <c r="B69" s="8" t="s">
        <v>233</v>
      </c>
      <c r="C69" s="7">
        <v>268</v>
      </c>
      <c r="D69" s="7" t="s">
        <v>374</v>
      </c>
      <c r="E69" s="7" t="s">
        <v>236</v>
      </c>
      <c r="F69" s="7" t="s">
        <v>110</v>
      </c>
      <c r="G69" t="s">
        <v>2</v>
      </c>
      <c r="H69" t="s">
        <v>3</v>
      </c>
      <c r="I69" t="s">
        <v>4</v>
      </c>
      <c r="J69" s="7"/>
      <c r="K69" s="7"/>
      <c r="L69" s="7"/>
      <c r="M69" s="7"/>
      <c r="N69" s="7">
        <v>1</v>
      </c>
      <c r="O69" s="7"/>
      <c r="P69" s="7">
        <f t="shared" si="2"/>
        <v>1</v>
      </c>
    </row>
    <row r="70" spans="1:42" hidden="1" x14ac:dyDescent="0.25">
      <c r="A70" s="8">
        <v>12087</v>
      </c>
      <c r="B70" s="8" t="s">
        <v>233</v>
      </c>
      <c r="C70" s="7">
        <v>276</v>
      </c>
      <c r="D70" s="7" t="s">
        <v>375</v>
      </c>
      <c r="E70" s="7" t="s">
        <v>237</v>
      </c>
      <c r="F70" s="7" t="s">
        <v>110</v>
      </c>
      <c r="G70" t="s">
        <v>2</v>
      </c>
      <c r="H70" t="s">
        <v>3</v>
      </c>
      <c r="I70" t="s">
        <v>4</v>
      </c>
      <c r="J70" s="7">
        <v>1</v>
      </c>
      <c r="K70" s="7"/>
      <c r="L70" s="7"/>
      <c r="M70" s="7"/>
      <c r="N70" s="7"/>
      <c r="O70" s="7"/>
      <c r="P70" s="7">
        <f t="shared" si="2"/>
        <v>1</v>
      </c>
    </row>
    <row r="71" spans="1:42" s="5" customFormat="1" hidden="1" x14ac:dyDescent="0.25">
      <c r="A71" s="8">
        <v>12087</v>
      </c>
      <c r="B71" s="8" t="s">
        <v>233</v>
      </c>
      <c r="C71" s="8">
        <v>218</v>
      </c>
      <c r="D71" s="8" t="s">
        <v>376</v>
      </c>
      <c r="E71" s="8" t="s">
        <v>238</v>
      </c>
      <c r="F71" s="8" t="s">
        <v>110</v>
      </c>
      <c r="G71" s="6" t="s">
        <v>2</v>
      </c>
      <c r="H71" s="6" t="s">
        <v>3</v>
      </c>
      <c r="I71" s="6" t="s">
        <v>4</v>
      </c>
      <c r="J71" s="8"/>
      <c r="K71" s="8"/>
      <c r="L71" s="8">
        <v>1</v>
      </c>
      <c r="M71" s="8"/>
      <c r="N71" s="8"/>
      <c r="O71" s="9"/>
      <c r="P71" s="8">
        <f t="shared" si="2"/>
        <v>1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idden="1" x14ac:dyDescent="0.25">
      <c r="A72" s="8">
        <v>12087</v>
      </c>
      <c r="B72" s="8" t="s">
        <v>233</v>
      </c>
      <c r="C72" s="7">
        <v>954</v>
      </c>
      <c r="D72" s="7" t="s">
        <v>377</v>
      </c>
      <c r="E72" s="7" t="s">
        <v>239</v>
      </c>
      <c r="F72" s="7" t="s">
        <v>110</v>
      </c>
      <c r="G72" t="s">
        <v>2</v>
      </c>
      <c r="H72" t="s">
        <v>3</v>
      </c>
      <c r="I72" t="s">
        <v>4</v>
      </c>
      <c r="J72" s="7"/>
      <c r="K72" s="7">
        <v>1</v>
      </c>
      <c r="L72" s="7"/>
      <c r="M72" s="7">
        <v>1</v>
      </c>
      <c r="N72" s="7"/>
      <c r="O72" s="9">
        <v>1</v>
      </c>
      <c r="P72" s="7">
        <f t="shared" si="2"/>
        <v>3</v>
      </c>
    </row>
    <row r="73" spans="1:42" hidden="1" x14ac:dyDescent="0.25">
      <c r="A73" s="8">
        <v>12087</v>
      </c>
      <c r="B73" s="8" t="s">
        <v>233</v>
      </c>
      <c r="C73" s="7">
        <v>212</v>
      </c>
      <c r="D73" s="7" t="s">
        <v>378</v>
      </c>
      <c r="E73" s="7" t="s">
        <v>240</v>
      </c>
      <c r="F73" s="7" t="s">
        <v>110</v>
      </c>
      <c r="G73" t="s">
        <v>2</v>
      </c>
      <c r="H73" t="s">
        <v>3</v>
      </c>
      <c r="I73" t="s">
        <v>4</v>
      </c>
      <c r="J73" s="7">
        <v>1</v>
      </c>
      <c r="K73" s="7"/>
      <c r="L73" s="7">
        <v>1</v>
      </c>
      <c r="M73" s="7"/>
      <c r="N73" s="7">
        <v>1</v>
      </c>
      <c r="O73" s="7"/>
      <c r="P73" s="7">
        <f t="shared" si="2"/>
        <v>3</v>
      </c>
    </row>
    <row r="74" spans="1:42" hidden="1" x14ac:dyDescent="0.25">
      <c r="A74" s="8">
        <v>12087</v>
      </c>
      <c r="B74" s="8" t="s">
        <v>233</v>
      </c>
      <c r="C74" s="7">
        <v>11899</v>
      </c>
      <c r="D74" s="7" t="s">
        <v>379</v>
      </c>
      <c r="E74" s="7" t="s">
        <v>241</v>
      </c>
      <c r="F74" s="7" t="s">
        <v>114</v>
      </c>
      <c r="G74" t="s">
        <v>18</v>
      </c>
      <c r="H74" t="s">
        <v>3</v>
      </c>
      <c r="I74" t="s">
        <v>4</v>
      </c>
      <c r="J74" s="7"/>
      <c r="K74" s="7">
        <v>1</v>
      </c>
      <c r="L74" s="7"/>
      <c r="M74" s="7">
        <v>1</v>
      </c>
      <c r="N74" s="7"/>
      <c r="O74" s="7"/>
      <c r="P74" s="7">
        <f t="shared" si="2"/>
        <v>2</v>
      </c>
    </row>
    <row r="75" spans="1:42" hidden="1" x14ac:dyDescent="0.25">
      <c r="A75" s="8">
        <v>12087</v>
      </c>
      <c r="B75" s="8" t="s">
        <v>233</v>
      </c>
      <c r="C75" s="7">
        <v>11851</v>
      </c>
      <c r="D75" s="7" t="s">
        <v>380</v>
      </c>
      <c r="E75" s="7" t="s">
        <v>242</v>
      </c>
      <c r="F75" s="7" t="s">
        <v>114</v>
      </c>
      <c r="G75" t="s">
        <v>18</v>
      </c>
      <c r="H75" t="s">
        <v>3</v>
      </c>
      <c r="I75" t="s">
        <v>4</v>
      </c>
      <c r="J75" s="7"/>
      <c r="K75" s="7">
        <v>1</v>
      </c>
      <c r="L75" s="7"/>
      <c r="M75" s="7">
        <v>1</v>
      </c>
      <c r="N75" s="7"/>
      <c r="O75" s="7"/>
      <c r="P75" s="7">
        <f t="shared" si="2"/>
        <v>2</v>
      </c>
    </row>
    <row r="76" spans="1:42" hidden="1" x14ac:dyDescent="0.25">
      <c r="A76" s="8">
        <v>12087</v>
      </c>
      <c r="B76" s="8" t="s">
        <v>233</v>
      </c>
      <c r="C76" s="7">
        <v>10947</v>
      </c>
      <c r="D76" s="7" t="s">
        <v>381</v>
      </c>
      <c r="E76" s="7" t="s">
        <v>243</v>
      </c>
      <c r="F76" s="7" t="s">
        <v>110</v>
      </c>
      <c r="G76" t="s">
        <v>18</v>
      </c>
      <c r="H76" t="s">
        <v>3</v>
      </c>
      <c r="I76" t="s">
        <v>4</v>
      </c>
      <c r="J76" s="7"/>
      <c r="K76" s="7">
        <v>1</v>
      </c>
      <c r="L76" s="7"/>
      <c r="M76" s="7">
        <v>1</v>
      </c>
      <c r="N76" s="7"/>
      <c r="O76" s="7"/>
      <c r="P76" s="7">
        <f t="shared" si="2"/>
        <v>2</v>
      </c>
    </row>
  </sheetData>
  <autoFilter ref="A2:P76" xr:uid="{0CECEA20-3F89-4AF0-9A9C-B1A68B340A52}">
    <filterColumn colId="1">
      <filters>
        <filter val="thalys frota"/>
      </filters>
    </filterColumn>
  </autoFilter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EE41-1AAB-4668-99A5-B4F2DC514B3A}">
  <dimension ref="A1:L176"/>
  <sheetViews>
    <sheetView showGridLines="0" topLeftCell="A143" workbookViewId="0">
      <selection activeCell="D163" sqref="D163"/>
    </sheetView>
  </sheetViews>
  <sheetFormatPr defaultRowHeight="15" x14ac:dyDescent="0.25"/>
  <cols>
    <col min="1" max="1" width="6" bestFit="1" customWidth="1"/>
    <col min="2" max="2" width="23.140625" bestFit="1" customWidth="1"/>
    <col min="3" max="3" width="8" bestFit="1" customWidth="1"/>
    <col min="4" max="4" width="44" bestFit="1" customWidth="1"/>
    <col min="5" max="5" width="4.42578125" style="39" bestFit="1" customWidth="1"/>
    <col min="6" max="6" width="4.140625" style="39" bestFit="1" customWidth="1"/>
    <col min="7" max="7" width="5.140625" style="39" bestFit="1" customWidth="1"/>
    <col min="8" max="8" width="4.42578125" style="39" bestFit="1" customWidth="1"/>
    <col min="9" max="9" width="4.140625" style="39" bestFit="1" customWidth="1"/>
    <col min="10" max="10" width="4.42578125" style="39" bestFit="1" customWidth="1"/>
    <col min="11" max="11" width="6.5703125" style="39" bestFit="1" customWidth="1"/>
    <col min="12" max="12" width="26.7109375" bestFit="1" customWidth="1"/>
    <col min="13" max="13" width="6.5703125" bestFit="1" customWidth="1"/>
    <col min="14" max="14" width="26.7109375" bestFit="1" customWidth="1"/>
  </cols>
  <sheetData>
    <row r="1" spans="1:12" x14ac:dyDescent="0.25">
      <c r="E1" s="59">
        <f>SUM(E3:E11)</f>
        <v>4</v>
      </c>
      <c r="F1" s="59">
        <f>SUM(F3:F11)</f>
        <v>4</v>
      </c>
      <c r="G1" s="59">
        <f t="shared" ref="G1:J1" si="0">SUM(G3:G11)</f>
        <v>4</v>
      </c>
      <c r="H1" s="59">
        <f t="shared" si="0"/>
        <v>4</v>
      </c>
      <c r="I1" s="59">
        <f t="shared" si="0"/>
        <v>3</v>
      </c>
      <c r="J1" s="59">
        <f t="shared" si="0"/>
        <v>2</v>
      </c>
      <c r="K1" s="59"/>
    </row>
    <row r="2" spans="1:12" x14ac:dyDescent="0.25">
      <c r="A2" s="42" t="s">
        <v>23</v>
      </c>
      <c r="B2" s="42" t="s">
        <v>21</v>
      </c>
      <c r="C2" s="20" t="s">
        <v>70</v>
      </c>
      <c r="D2" s="20" t="s">
        <v>71</v>
      </c>
      <c r="E2" s="60" t="s">
        <v>77</v>
      </c>
      <c r="F2" s="60" t="s">
        <v>78</v>
      </c>
      <c r="G2" s="60" t="s">
        <v>79</v>
      </c>
      <c r="H2" s="60" t="s">
        <v>80</v>
      </c>
      <c r="I2" s="60" t="s">
        <v>81</v>
      </c>
      <c r="J2" s="60" t="s">
        <v>82</v>
      </c>
      <c r="K2" s="60" t="s">
        <v>366</v>
      </c>
      <c r="L2" s="16" t="s">
        <v>388</v>
      </c>
    </row>
    <row r="3" spans="1:12" x14ac:dyDescent="0.25">
      <c r="A3" s="40">
        <v>10931</v>
      </c>
      <c r="B3" s="40" t="s">
        <v>22</v>
      </c>
      <c r="C3" s="40">
        <v>8900011</v>
      </c>
      <c r="D3" s="40" t="s">
        <v>254</v>
      </c>
      <c r="E3" s="61">
        <v>1</v>
      </c>
      <c r="F3" s="61"/>
      <c r="G3" s="61">
        <v>1</v>
      </c>
      <c r="H3" s="61"/>
      <c r="I3" s="61">
        <v>1</v>
      </c>
      <c r="J3" s="61"/>
      <c r="K3" s="61">
        <f>SUM(E3:J3)</f>
        <v>3</v>
      </c>
      <c r="L3" s="40">
        <v>38</v>
      </c>
    </row>
    <row r="4" spans="1:12" x14ac:dyDescent="0.25">
      <c r="A4" s="40">
        <v>10931</v>
      </c>
      <c r="B4" s="40" t="s">
        <v>22</v>
      </c>
      <c r="C4" s="40">
        <v>663</v>
      </c>
      <c r="D4" s="40" t="s">
        <v>255</v>
      </c>
      <c r="E4" s="61"/>
      <c r="F4" s="61">
        <v>1</v>
      </c>
      <c r="G4" s="61"/>
      <c r="H4" s="61">
        <v>1</v>
      </c>
      <c r="I4" s="61"/>
      <c r="J4" s="61">
        <v>1</v>
      </c>
      <c r="K4" s="61">
        <f t="shared" ref="K4:K11" si="1">SUM(E4:J4)</f>
        <v>3</v>
      </c>
      <c r="L4" s="40">
        <v>35</v>
      </c>
    </row>
    <row r="5" spans="1:12" x14ac:dyDescent="0.25">
      <c r="A5" s="26">
        <v>10931</v>
      </c>
      <c r="B5" s="26" t="s">
        <v>22</v>
      </c>
      <c r="C5" s="26">
        <v>192</v>
      </c>
      <c r="D5" s="26" t="s">
        <v>256</v>
      </c>
      <c r="E5" s="62">
        <v>0</v>
      </c>
      <c r="F5" s="63"/>
      <c r="G5" s="63">
        <v>1</v>
      </c>
      <c r="H5" s="63"/>
      <c r="I5" s="63"/>
      <c r="J5" s="63"/>
      <c r="K5" s="63">
        <f t="shared" si="1"/>
        <v>1</v>
      </c>
      <c r="L5" s="26">
        <v>7</v>
      </c>
    </row>
    <row r="6" spans="1:12" x14ac:dyDescent="0.25">
      <c r="A6" s="40">
        <v>10931</v>
      </c>
      <c r="B6" s="40" t="s">
        <v>22</v>
      </c>
      <c r="C6" s="40">
        <v>9345</v>
      </c>
      <c r="D6" s="40" t="s">
        <v>257</v>
      </c>
      <c r="E6" s="61">
        <v>1</v>
      </c>
      <c r="F6" s="61"/>
      <c r="G6" s="61">
        <v>1</v>
      </c>
      <c r="H6" s="61"/>
      <c r="I6" s="61">
        <v>1</v>
      </c>
      <c r="J6" s="61"/>
      <c r="K6" s="61">
        <f t="shared" si="1"/>
        <v>3</v>
      </c>
      <c r="L6" s="40">
        <v>36</v>
      </c>
    </row>
    <row r="7" spans="1:12" x14ac:dyDescent="0.25">
      <c r="A7" s="40">
        <v>10931</v>
      </c>
      <c r="B7" s="40" t="s">
        <v>22</v>
      </c>
      <c r="C7" s="40">
        <v>8900017</v>
      </c>
      <c r="D7" s="40" t="s">
        <v>258</v>
      </c>
      <c r="E7" s="61">
        <v>1</v>
      </c>
      <c r="F7" s="61"/>
      <c r="G7" s="61">
        <v>1</v>
      </c>
      <c r="H7" s="61"/>
      <c r="I7" s="61">
        <v>1</v>
      </c>
      <c r="J7" s="61"/>
      <c r="K7" s="61">
        <f t="shared" si="1"/>
        <v>3</v>
      </c>
      <c r="L7" s="40">
        <v>38</v>
      </c>
    </row>
    <row r="8" spans="1:12" x14ac:dyDescent="0.25">
      <c r="A8" s="26">
        <v>10931</v>
      </c>
      <c r="B8" s="26" t="s">
        <v>22</v>
      </c>
      <c r="C8" s="26">
        <v>219</v>
      </c>
      <c r="D8" s="26" t="s">
        <v>259</v>
      </c>
      <c r="E8" s="63">
        <v>1</v>
      </c>
      <c r="F8" s="63"/>
      <c r="G8" s="63"/>
      <c r="H8" s="63"/>
      <c r="I8" s="62">
        <v>0</v>
      </c>
      <c r="J8" s="63"/>
      <c r="K8" s="63">
        <f t="shared" si="1"/>
        <v>1</v>
      </c>
      <c r="L8" s="26">
        <v>7</v>
      </c>
    </row>
    <row r="9" spans="1:12" x14ac:dyDescent="0.25">
      <c r="A9" s="40">
        <v>10931</v>
      </c>
      <c r="B9" s="40" t="s">
        <v>22</v>
      </c>
      <c r="C9" s="40">
        <v>337</v>
      </c>
      <c r="D9" s="40" t="s">
        <v>260</v>
      </c>
      <c r="E9" s="61"/>
      <c r="F9" s="61">
        <v>1</v>
      </c>
      <c r="G9" s="61"/>
      <c r="H9" s="61">
        <v>1</v>
      </c>
      <c r="I9" s="61"/>
      <c r="J9" s="61"/>
      <c r="K9" s="61">
        <f t="shared" si="1"/>
        <v>2</v>
      </c>
      <c r="L9" s="40">
        <v>36</v>
      </c>
    </row>
    <row r="10" spans="1:12" x14ac:dyDescent="0.25">
      <c r="A10" s="40">
        <v>10931</v>
      </c>
      <c r="B10" s="40" t="s">
        <v>22</v>
      </c>
      <c r="C10" s="40">
        <v>9622</v>
      </c>
      <c r="D10" s="40" t="s">
        <v>261</v>
      </c>
      <c r="E10" s="61"/>
      <c r="F10" s="61">
        <v>1</v>
      </c>
      <c r="G10" s="61"/>
      <c r="H10" s="61">
        <v>1</v>
      </c>
      <c r="I10" s="61"/>
      <c r="J10" s="61">
        <v>1</v>
      </c>
      <c r="K10" s="61">
        <f t="shared" si="1"/>
        <v>3</v>
      </c>
      <c r="L10" s="40">
        <v>33</v>
      </c>
    </row>
    <row r="11" spans="1:12" x14ac:dyDescent="0.25">
      <c r="A11" s="40">
        <v>10931</v>
      </c>
      <c r="B11" s="40" t="s">
        <v>22</v>
      </c>
      <c r="C11" s="40">
        <v>11809</v>
      </c>
      <c r="D11" s="40" t="s">
        <v>262</v>
      </c>
      <c r="E11" s="61"/>
      <c r="F11" s="61">
        <v>1</v>
      </c>
      <c r="G11" s="61"/>
      <c r="H11" s="61">
        <v>1</v>
      </c>
      <c r="I11" s="61"/>
      <c r="J11" s="61"/>
      <c r="K11" s="61">
        <f t="shared" si="1"/>
        <v>2</v>
      </c>
      <c r="L11" s="40">
        <v>36</v>
      </c>
    </row>
    <row r="13" spans="1:12" x14ac:dyDescent="0.25">
      <c r="E13" s="59">
        <f>SUM(E15:E19)</f>
        <v>3</v>
      </c>
      <c r="F13" s="59">
        <f t="shared" ref="F13:J13" si="2">SUM(F15:F19)</f>
        <v>3</v>
      </c>
      <c r="G13" s="59">
        <f t="shared" si="2"/>
        <v>2</v>
      </c>
      <c r="H13" s="59">
        <f t="shared" si="2"/>
        <v>3</v>
      </c>
      <c r="I13" s="59">
        <f t="shared" si="2"/>
        <v>2</v>
      </c>
      <c r="J13" s="59">
        <f t="shared" si="2"/>
        <v>1</v>
      </c>
      <c r="K13" s="59"/>
    </row>
    <row r="14" spans="1:12" x14ac:dyDescent="0.25">
      <c r="A14" s="42" t="s">
        <v>23</v>
      </c>
      <c r="B14" s="42" t="s">
        <v>21</v>
      </c>
      <c r="C14" s="20" t="s">
        <v>70</v>
      </c>
      <c r="D14" s="20" t="s">
        <v>71</v>
      </c>
      <c r="E14" s="60" t="s">
        <v>77</v>
      </c>
      <c r="F14" s="60" t="s">
        <v>78</v>
      </c>
      <c r="G14" s="60" t="s">
        <v>79</v>
      </c>
      <c r="H14" s="60" t="s">
        <v>80</v>
      </c>
      <c r="I14" s="60" t="s">
        <v>81</v>
      </c>
      <c r="J14" s="60" t="s">
        <v>82</v>
      </c>
      <c r="K14" s="60" t="s">
        <v>366</v>
      </c>
      <c r="L14" s="16" t="s">
        <v>388</v>
      </c>
    </row>
    <row r="15" spans="1:12" x14ac:dyDescent="0.25">
      <c r="A15" s="26">
        <v>11587</v>
      </c>
      <c r="B15" s="26" t="s">
        <v>24</v>
      </c>
      <c r="C15" s="26">
        <v>9342</v>
      </c>
      <c r="D15" s="26" t="s">
        <v>263</v>
      </c>
      <c r="E15" s="63">
        <v>1</v>
      </c>
      <c r="F15" s="63"/>
      <c r="G15" s="62">
        <v>0</v>
      </c>
      <c r="H15" s="63"/>
      <c r="I15" s="62">
        <v>0</v>
      </c>
      <c r="J15" s="63"/>
      <c r="K15" s="61">
        <f>SUM(E15:J15)</f>
        <v>1</v>
      </c>
      <c r="L15" s="26">
        <v>7</v>
      </c>
    </row>
    <row r="16" spans="1:12" x14ac:dyDescent="0.25">
      <c r="A16" s="40">
        <v>11587</v>
      </c>
      <c r="B16" s="40" t="s">
        <v>24</v>
      </c>
      <c r="C16" s="40">
        <v>8971164</v>
      </c>
      <c r="D16" s="40" t="s">
        <v>264</v>
      </c>
      <c r="E16" s="61"/>
      <c r="F16" s="61">
        <v>1</v>
      </c>
      <c r="G16" s="61"/>
      <c r="H16" s="61">
        <v>1</v>
      </c>
      <c r="I16" s="61"/>
      <c r="J16" s="61"/>
      <c r="K16" s="61">
        <f t="shared" ref="K16:K19" si="3">SUM(E16:J16)</f>
        <v>2</v>
      </c>
      <c r="L16" s="40">
        <v>19</v>
      </c>
    </row>
    <row r="17" spans="1:12" x14ac:dyDescent="0.25">
      <c r="A17" s="40">
        <v>11587</v>
      </c>
      <c r="B17" s="40" t="s">
        <v>24</v>
      </c>
      <c r="C17" s="40">
        <v>8971161</v>
      </c>
      <c r="D17" s="40" t="s">
        <v>265</v>
      </c>
      <c r="E17" s="61"/>
      <c r="F17" s="61">
        <v>1</v>
      </c>
      <c r="G17" s="61"/>
      <c r="H17" s="61">
        <v>1</v>
      </c>
      <c r="I17" s="61"/>
      <c r="J17" s="61"/>
      <c r="K17" s="61">
        <f t="shared" si="3"/>
        <v>2</v>
      </c>
      <c r="L17" s="40">
        <v>19</v>
      </c>
    </row>
    <row r="18" spans="1:12" x14ac:dyDescent="0.25">
      <c r="A18" s="40">
        <v>11587</v>
      </c>
      <c r="B18" s="40" t="s">
        <v>24</v>
      </c>
      <c r="C18" s="40">
        <v>1034</v>
      </c>
      <c r="D18" s="40" t="s">
        <v>266</v>
      </c>
      <c r="E18" s="61">
        <v>1</v>
      </c>
      <c r="F18" s="61"/>
      <c r="G18" s="61">
        <v>1</v>
      </c>
      <c r="H18" s="61"/>
      <c r="I18" s="61">
        <v>1</v>
      </c>
      <c r="J18" s="61"/>
      <c r="K18" s="61">
        <f t="shared" si="3"/>
        <v>3</v>
      </c>
      <c r="L18" s="40">
        <v>35</v>
      </c>
    </row>
    <row r="19" spans="1:12" x14ac:dyDescent="0.25">
      <c r="A19" s="40">
        <v>11587</v>
      </c>
      <c r="B19" s="40" t="s">
        <v>24</v>
      </c>
      <c r="C19" s="40">
        <v>11733</v>
      </c>
      <c r="D19" s="40" t="s">
        <v>267</v>
      </c>
      <c r="E19" s="61">
        <v>1</v>
      </c>
      <c r="F19" s="61">
        <v>1</v>
      </c>
      <c r="G19" s="61">
        <v>1</v>
      </c>
      <c r="H19" s="61">
        <v>1</v>
      </c>
      <c r="I19" s="61">
        <v>1</v>
      </c>
      <c r="J19" s="61">
        <v>1</v>
      </c>
      <c r="K19" s="61">
        <f t="shared" si="3"/>
        <v>6</v>
      </c>
      <c r="L19" s="40">
        <v>36</v>
      </c>
    </row>
    <row r="21" spans="1:12" x14ac:dyDescent="0.25">
      <c r="A21" s="7"/>
      <c r="B21" s="7"/>
      <c r="C21" s="7"/>
      <c r="D21" s="7"/>
      <c r="E21" s="59">
        <f>SUM(E23:E33)</f>
        <v>5</v>
      </c>
      <c r="F21" s="59">
        <f t="shared" ref="F21:J21" si="4">SUM(F23:F33)</f>
        <v>4</v>
      </c>
      <c r="G21" s="59">
        <f t="shared" si="4"/>
        <v>4</v>
      </c>
      <c r="H21" s="59">
        <f t="shared" si="4"/>
        <v>4</v>
      </c>
      <c r="I21" s="59">
        <f t="shared" si="4"/>
        <v>4</v>
      </c>
      <c r="J21" s="59">
        <f t="shared" si="4"/>
        <v>2</v>
      </c>
      <c r="K21" s="59"/>
    </row>
    <row r="22" spans="1:12" x14ac:dyDescent="0.25">
      <c r="A22" s="64" t="s">
        <v>23</v>
      </c>
      <c r="B22" s="64" t="s">
        <v>21</v>
      </c>
      <c r="C22" s="12" t="s">
        <v>70</v>
      </c>
      <c r="D22" s="12" t="s">
        <v>71</v>
      </c>
      <c r="E22" s="60" t="s">
        <v>77</v>
      </c>
      <c r="F22" s="60" t="s">
        <v>78</v>
      </c>
      <c r="G22" s="60" t="s">
        <v>79</v>
      </c>
      <c r="H22" s="60" t="s">
        <v>80</v>
      </c>
      <c r="I22" s="60" t="s">
        <v>81</v>
      </c>
      <c r="J22" s="60" t="s">
        <v>82</v>
      </c>
      <c r="K22" s="60" t="s">
        <v>366</v>
      </c>
      <c r="L22" s="16" t="s">
        <v>388</v>
      </c>
    </row>
    <row r="23" spans="1:12" x14ac:dyDescent="0.25">
      <c r="A23" s="61">
        <v>11023</v>
      </c>
      <c r="B23" s="61" t="s">
        <v>36</v>
      </c>
      <c r="C23" s="61">
        <v>8900003</v>
      </c>
      <c r="D23" s="61" t="s">
        <v>268</v>
      </c>
      <c r="E23" s="61">
        <v>1</v>
      </c>
      <c r="F23" s="61"/>
      <c r="G23" s="61">
        <v>1</v>
      </c>
      <c r="H23" s="61"/>
      <c r="I23" s="61">
        <v>1</v>
      </c>
      <c r="J23" s="61"/>
      <c r="K23" s="61">
        <f>SUM(E23:J23)</f>
        <v>3</v>
      </c>
      <c r="L23" s="40">
        <v>38</v>
      </c>
    </row>
    <row r="24" spans="1:12" x14ac:dyDescent="0.25">
      <c r="A24" s="61">
        <v>11023</v>
      </c>
      <c r="B24" s="61" t="s">
        <v>36</v>
      </c>
      <c r="C24" s="61">
        <v>9340</v>
      </c>
      <c r="D24" s="61" t="s">
        <v>269</v>
      </c>
      <c r="E24" s="61"/>
      <c r="F24" s="61">
        <v>1</v>
      </c>
      <c r="G24" s="61"/>
      <c r="H24" s="61">
        <v>1</v>
      </c>
      <c r="I24" s="61"/>
      <c r="J24" s="61">
        <v>1</v>
      </c>
      <c r="K24" s="61">
        <f t="shared" ref="K24:K33" si="5">SUM(E24:J24)</f>
        <v>3</v>
      </c>
      <c r="L24" s="40">
        <v>32</v>
      </c>
    </row>
    <row r="25" spans="1:12" x14ac:dyDescent="0.25">
      <c r="A25" s="61">
        <v>11023</v>
      </c>
      <c r="B25" s="61" t="s">
        <v>36</v>
      </c>
      <c r="C25" s="61">
        <v>8900018</v>
      </c>
      <c r="D25" s="61" t="s">
        <v>270</v>
      </c>
      <c r="E25" s="61">
        <v>1</v>
      </c>
      <c r="F25" s="61"/>
      <c r="G25" s="61">
        <v>1</v>
      </c>
      <c r="H25" s="61"/>
      <c r="I25" s="61"/>
      <c r="J25" s="61"/>
      <c r="K25" s="61">
        <f t="shared" si="5"/>
        <v>2</v>
      </c>
      <c r="L25" s="40">
        <v>34</v>
      </c>
    </row>
    <row r="26" spans="1:12" x14ac:dyDescent="0.25">
      <c r="A26" s="61">
        <v>11023</v>
      </c>
      <c r="B26" s="61" t="s">
        <v>36</v>
      </c>
      <c r="C26" s="61">
        <v>4393</v>
      </c>
      <c r="D26" s="61" t="s">
        <v>271</v>
      </c>
      <c r="E26" s="61"/>
      <c r="F26" s="61">
        <v>1</v>
      </c>
      <c r="G26" s="61"/>
      <c r="H26" s="61">
        <v>1</v>
      </c>
      <c r="I26" s="61"/>
      <c r="J26" s="61"/>
      <c r="K26" s="61">
        <f t="shared" si="5"/>
        <v>2</v>
      </c>
      <c r="L26" s="40">
        <v>23</v>
      </c>
    </row>
    <row r="27" spans="1:12" x14ac:dyDescent="0.25">
      <c r="A27" s="63">
        <v>11023</v>
      </c>
      <c r="B27" s="63" t="s">
        <v>36</v>
      </c>
      <c r="C27" s="63">
        <v>3944</v>
      </c>
      <c r="D27" s="63" t="s">
        <v>272</v>
      </c>
      <c r="E27" s="63">
        <v>1</v>
      </c>
      <c r="F27" s="63"/>
      <c r="G27" s="62">
        <v>0</v>
      </c>
      <c r="H27" s="63"/>
      <c r="I27" s="63"/>
      <c r="J27" s="63"/>
      <c r="K27" s="63">
        <f t="shared" si="5"/>
        <v>1</v>
      </c>
      <c r="L27" s="26">
        <v>9</v>
      </c>
    </row>
    <row r="28" spans="1:12" x14ac:dyDescent="0.25">
      <c r="A28" s="61">
        <v>11023</v>
      </c>
      <c r="B28" s="61" t="s">
        <v>36</v>
      </c>
      <c r="C28" s="61">
        <v>8900010</v>
      </c>
      <c r="D28" s="61" t="s">
        <v>273</v>
      </c>
      <c r="E28" s="61">
        <v>1</v>
      </c>
      <c r="F28" s="61"/>
      <c r="G28" s="61">
        <v>1</v>
      </c>
      <c r="H28" s="61"/>
      <c r="I28" s="61">
        <v>1</v>
      </c>
      <c r="J28" s="61"/>
      <c r="K28" s="61">
        <f t="shared" si="5"/>
        <v>3</v>
      </c>
      <c r="L28" s="40">
        <v>37</v>
      </c>
    </row>
    <row r="29" spans="1:12" x14ac:dyDescent="0.25">
      <c r="A29" s="63">
        <v>11023</v>
      </c>
      <c r="B29" s="63" t="s">
        <v>36</v>
      </c>
      <c r="C29" s="63">
        <v>4009</v>
      </c>
      <c r="D29" s="63" t="s">
        <v>274</v>
      </c>
      <c r="E29" s="63"/>
      <c r="F29" s="63"/>
      <c r="G29" s="63"/>
      <c r="H29" s="63">
        <v>1</v>
      </c>
      <c r="I29" s="63"/>
      <c r="J29" s="63"/>
      <c r="K29" s="63">
        <f t="shared" si="5"/>
        <v>1</v>
      </c>
      <c r="L29" s="26">
        <v>14</v>
      </c>
    </row>
    <row r="30" spans="1:12" x14ac:dyDescent="0.25">
      <c r="A30" s="61">
        <v>11023</v>
      </c>
      <c r="B30" s="61" t="s">
        <v>36</v>
      </c>
      <c r="C30" s="61">
        <v>4029</v>
      </c>
      <c r="D30" s="61" t="s">
        <v>275</v>
      </c>
      <c r="E30" s="61">
        <v>1</v>
      </c>
      <c r="F30" s="61"/>
      <c r="G30" s="61">
        <v>1</v>
      </c>
      <c r="H30" s="61"/>
      <c r="I30" s="61">
        <v>1</v>
      </c>
      <c r="J30" s="61"/>
      <c r="K30" s="61">
        <f t="shared" si="5"/>
        <v>3</v>
      </c>
      <c r="L30" s="40">
        <v>35</v>
      </c>
    </row>
    <row r="31" spans="1:12" x14ac:dyDescent="0.25">
      <c r="A31" s="63">
        <v>11023</v>
      </c>
      <c r="B31" s="63" t="s">
        <v>36</v>
      </c>
      <c r="C31" s="63">
        <v>5047</v>
      </c>
      <c r="D31" s="63" t="s">
        <v>276</v>
      </c>
      <c r="E31" s="63"/>
      <c r="F31" s="63">
        <v>1</v>
      </c>
      <c r="G31" s="63"/>
      <c r="H31" s="63"/>
      <c r="I31" s="63"/>
      <c r="J31" s="63"/>
      <c r="K31" s="63">
        <f t="shared" si="5"/>
        <v>1</v>
      </c>
      <c r="L31" s="26">
        <v>7</v>
      </c>
    </row>
    <row r="32" spans="1:12" x14ac:dyDescent="0.25">
      <c r="A32" s="61">
        <v>11023</v>
      </c>
      <c r="B32" s="61" t="s">
        <v>36</v>
      </c>
      <c r="C32" s="61">
        <v>6971169</v>
      </c>
      <c r="D32" s="61" t="s">
        <v>277</v>
      </c>
      <c r="E32" s="61"/>
      <c r="F32" s="61"/>
      <c r="G32" s="61"/>
      <c r="H32" s="61"/>
      <c r="I32" s="61">
        <v>1</v>
      </c>
      <c r="J32" s="61"/>
      <c r="K32" s="61">
        <f t="shared" si="5"/>
        <v>1</v>
      </c>
      <c r="L32" s="40">
        <v>19</v>
      </c>
    </row>
    <row r="33" spans="1:12" x14ac:dyDescent="0.25">
      <c r="A33" s="61">
        <v>11023</v>
      </c>
      <c r="B33" s="61" t="s">
        <v>36</v>
      </c>
      <c r="C33" s="61">
        <v>1058</v>
      </c>
      <c r="D33" s="61" t="s">
        <v>278</v>
      </c>
      <c r="E33" s="61"/>
      <c r="F33" s="61">
        <v>1</v>
      </c>
      <c r="G33" s="61"/>
      <c r="H33" s="61">
        <v>1</v>
      </c>
      <c r="I33" s="61"/>
      <c r="J33" s="61">
        <v>1</v>
      </c>
      <c r="K33" s="61">
        <f t="shared" si="5"/>
        <v>3</v>
      </c>
      <c r="L33" s="40">
        <v>35</v>
      </c>
    </row>
    <row r="34" spans="1:12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spans="1:12" x14ac:dyDescent="0.25">
      <c r="E35" s="59">
        <f>SUM(E37:E41)</f>
        <v>3</v>
      </c>
      <c r="F35" s="59">
        <f t="shared" ref="F35:J35" si="6">SUM(F37:F41)</f>
        <v>3</v>
      </c>
      <c r="G35" s="59">
        <f t="shared" si="6"/>
        <v>2</v>
      </c>
      <c r="H35" s="59">
        <f t="shared" si="6"/>
        <v>3</v>
      </c>
      <c r="I35" s="59">
        <f t="shared" si="6"/>
        <v>2</v>
      </c>
      <c r="J35" s="59">
        <f t="shared" si="6"/>
        <v>1</v>
      </c>
      <c r="K35" s="59"/>
    </row>
    <row r="36" spans="1:12" x14ac:dyDescent="0.25">
      <c r="A36" s="42" t="s">
        <v>23</v>
      </c>
      <c r="B36" s="42" t="s">
        <v>21</v>
      </c>
      <c r="C36" s="20" t="s">
        <v>70</v>
      </c>
      <c r="D36" s="20" t="s">
        <v>71</v>
      </c>
      <c r="E36" s="60" t="s">
        <v>77</v>
      </c>
      <c r="F36" s="60" t="s">
        <v>78</v>
      </c>
      <c r="G36" s="60" t="s">
        <v>79</v>
      </c>
      <c r="H36" s="60" t="s">
        <v>80</v>
      </c>
      <c r="I36" s="60" t="s">
        <v>81</v>
      </c>
      <c r="J36" s="60" t="s">
        <v>82</v>
      </c>
      <c r="K36" s="60" t="s">
        <v>366</v>
      </c>
      <c r="L36" s="16" t="s">
        <v>388</v>
      </c>
    </row>
    <row r="37" spans="1:12" x14ac:dyDescent="0.25">
      <c r="A37" s="40">
        <v>11679</v>
      </c>
      <c r="B37" s="40" t="s">
        <v>87</v>
      </c>
      <c r="C37" s="40">
        <v>10948</v>
      </c>
      <c r="D37" s="40" t="s">
        <v>279</v>
      </c>
      <c r="E37" s="61">
        <v>1</v>
      </c>
      <c r="F37" s="61"/>
      <c r="G37" s="61">
        <v>1</v>
      </c>
      <c r="H37" s="61"/>
      <c r="I37" s="61">
        <v>1</v>
      </c>
      <c r="J37" s="61"/>
      <c r="K37" s="61">
        <f>SUM(E37:J37)</f>
        <v>3</v>
      </c>
      <c r="L37" s="40">
        <v>33</v>
      </c>
    </row>
    <row r="38" spans="1:12" x14ac:dyDescent="0.25">
      <c r="A38" s="26">
        <v>11679</v>
      </c>
      <c r="B38" s="26" t="s">
        <v>87</v>
      </c>
      <c r="C38" s="26">
        <v>225</v>
      </c>
      <c r="D38" s="26" t="s">
        <v>280</v>
      </c>
      <c r="E38" s="63">
        <v>1</v>
      </c>
      <c r="F38" s="63"/>
      <c r="G38" s="62">
        <v>0</v>
      </c>
      <c r="H38" s="63"/>
      <c r="I38" s="62">
        <v>0</v>
      </c>
      <c r="J38" s="63"/>
      <c r="K38" s="63">
        <f t="shared" ref="K38:K41" si="7">SUM(E38:J38)</f>
        <v>1</v>
      </c>
      <c r="L38" s="26">
        <v>7</v>
      </c>
    </row>
    <row r="39" spans="1:12" x14ac:dyDescent="0.25">
      <c r="A39" s="40">
        <v>11679</v>
      </c>
      <c r="B39" s="40" t="s">
        <v>87</v>
      </c>
      <c r="C39" s="40">
        <v>8900002</v>
      </c>
      <c r="D39" s="40" t="s">
        <v>281</v>
      </c>
      <c r="E39" s="61"/>
      <c r="F39" s="61">
        <v>1</v>
      </c>
      <c r="G39" s="61"/>
      <c r="H39" s="61">
        <v>1</v>
      </c>
      <c r="I39" s="61"/>
      <c r="J39" s="61"/>
      <c r="K39" s="61">
        <f t="shared" si="7"/>
        <v>2</v>
      </c>
      <c r="L39" s="40">
        <v>38</v>
      </c>
    </row>
    <row r="40" spans="1:12" x14ac:dyDescent="0.25">
      <c r="A40" s="40">
        <v>11679</v>
      </c>
      <c r="B40" s="40" t="s">
        <v>87</v>
      </c>
      <c r="C40" s="40">
        <v>1011</v>
      </c>
      <c r="D40" s="40" t="s">
        <v>282</v>
      </c>
      <c r="E40" s="61"/>
      <c r="F40" s="61">
        <v>1</v>
      </c>
      <c r="G40" s="61"/>
      <c r="H40" s="61">
        <v>1</v>
      </c>
      <c r="I40" s="61"/>
      <c r="J40" s="61"/>
      <c r="K40" s="61">
        <f t="shared" si="7"/>
        <v>2</v>
      </c>
      <c r="L40" s="40">
        <v>35</v>
      </c>
    </row>
    <row r="41" spans="1:12" x14ac:dyDescent="0.25">
      <c r="A41" s="40">
        <v>11679</v>
      </c>
      <c r="B41" s="40" t="s">
        <v>87</v>
      </c>
      <c r="C41" s="40">
        <v>9635</v>
      </c>
      <c r="D41" s="40" t="s">
        <v>283</v>
      </c>
      <c r="E41" s="61">
        <v>1</v>
      </c>
      <c r="F41" s="61">
        <v>1</v>
      </c>
      <c r="G41" s="61">
        <v>1</v>
      </c>
      <c r="H41" s="61">
        <v>1</v>
      </c>
      <c r="I41" s="61">
        <v>1</v>
      </c>
      <c r="J41" s="61">
        <v>1</v>
      </c>
      <c r="K41" s="61">
        <f t="shared" si="7"/>
        <v>6</v>
      </c>
      <c r="L41" s="40">
        <v>36</v>
      </c>
    </row>
    <row r="43" spans="1:12" x14ac:dyDescent="0.25">
      <c r="E43" s="59">
        <f>SUM(E45:E53)</f>
        <v>4</v>
      </c>
      <c r="F43" s="59">
        <f t="shared" ref="F43:J43" si="8">SUM(F45:F53)</f>
        <v>5</v>
      </c>
      <c r="G43" s="59">
        <f t="shared" si="8"/>
        <v>3</v>
      </c>
      <c r="H43" s="59">
        <f t="shared" si="8"/>
        <v>4</v>
      </c>
      <c r="I43" s="59">
        <f t="shared" si="8"/>
        <v>4</v>
      </c>
      <c r="J43" s="59">
        <f t="shared" si="8"/>
        <v>2</v>
      </c>
      <c r="K43" s="59"/>
    </row>
    <row r="44" spans="1:12" x14ac:dyDescent="0.25">
      <c r="A44" s="42" t="s">
        <v>23</v>
      </c>
      <c r="B44" s="42" t="s">
        <v>21</v>
      </c>
      <c r="C44" s="20" t="s">
        <v>70</v>
      </c>
      <c r="D44" s="20" t="s">
        <v>71</v>
      </c>
      <c r="E44" s="60" t="s">
        <v>77</v>
      </c>
      <c r="F44" s="60" t="s">
        <v>78</v>
      </c>
      <c r="G44" s="60" t="s">
        <v>79</v>
      </c>
      <c r="H44" s="60" t="s">
        <v>80</v>
      </c>
      <c r="I44" s="60" t="s">
        <v>81</v>
      </c>
      <c r="J44" s="60" t="s">
        <v>82</v>
      </c>
      <c r="K44" s="60" t="s">
        <v>366</v>
      </c>
      <c r="L44" s="16" t="s">
        <v>388</v>
      </c>
    </row>
    <row r="45" spans="1:12" x14ac:dyDescent="0.25">
      <c r="A45" s="40">
        <v>11678</v>
      </c>
      <c r="B45" s="40" t="s">
        <v>95</v>
      </c>
      <c r="C45" s="40">
        <v>4293</v>
      </c>
      <c r="D45" s="40" t="s">
        <v>284</v>
      </c>
      <c r="E45" s="61">
        <v>1</v>
      </c>
      <c r="F45" s="61"/>
      <c r="G45" s="61">
        <v>1</v>
      </c>
      <c r="H45" s="61"/>
      <c r="I45" s="61">
        <v>1</v>
      </c>
      <c r="J45" s="61"/>
      <c r="K45" s="61">
        <f t="shared" ref="K45:K53" si="9">SUM(E45:J45)</f>
        <v>3</v>
      </c>
      <c r="L45" s="40">
        <v>33</v>
      </c>
    </row>
    <row r="46" spans="1:12" x14ac:dyDescent="0.25">
      <c r="A46" s="40">
        <v>11678</v>
      </c>
      <c r="B46" s="40" t="s">
        <v>95</v>
      </c>
      <c r="C46" s="40">
        <v>8900000</v>
      </c>
      <c r="D46" s="40" t="s">
        <v>285</v>
      </c>
      <c r="E46" s="61">
        <v>1</v>
      </c>
      <c r="F46" s="61"/>
      <c r="G46" s="61">
        <v>1</v>
      </c>
      <c r="H46" s="61"/>
      <c r="I46" s="61">
        <v>1</v>
      </c>
      <c r="J46" s="61"/>
      <c r="K46" s="61">
        <f t="shared" si="9"/>
        <v>3</v>
      </c>
      <c r="L46" s="40">
        <v>38</v>
      </c>
    </row>
    <row r="47" spans="1:12" x14ac:dyDescent="0.25">
      <c r="A47" s="40">
        <v>11678</v>
      </c>
      <c r="B47" s="40" t="s">
        <v>95</v>
      </c>
      <c r="C47" s="40">
        <v>4458</v>
      </c>
      <c r="D47" s="40" t="s">
        <v>286</v>
      </c>
      <c r="E47" s="61"/>
      <c r="F47" s="61">
        <v>1</v>
      </c>
      <c r="G47" s="61"/>
      <c r="H47" s="61">
        <v>1</v>
      </c>
      <c r="I47" s="61"/>
      <c r="J47" s="61">
        <v>1</v>
      </c>
      <c r="K47" s="61">
        <f t="shared" si="9"/>
        <v>3</v>
      </c>
      <c r="L47" s="40">
        <v>34</v>
      </c>
    </row>
    <row r="48" spans="1:12" x14ac:dyDescent="0.25">
      <c r="A48" s="40">
        <v>11678</v>
      </c>
      <c r="B48" s="40" t="s">
        <v>95</v>
      </c>
      <c r="C48" s="40">
        <v>465</v>
      </c>
      <c r="D48" s="40" t="s">
        <v>287</v>
      </c>
      <c r="E48" s="61"/>
      <c r="F48" s="61">
        <v>1</v>
      </c>
      <c r="G48" s="61"/>
      <c r="H48" s="61">
        <v>1</v>
      </c>
      <c r="I48" s="61"/>
      <c r="J48" s="61">
        <v>1</v>
      </c>
      <c r="K48" s="61">
        <f t="shared" si="9"/>
        <v>3</v>
      </c>
      <c r="L48" s="40">
        <v>34</v>
      </c>
    </row>
    <row r="49" spans="1:12" x14ac:dyDescent="0.25">
      <c r="A49" s="40">
        <v>11678</v>
      </c>
      <c r="B49" s="40" t="s">
        <v>95</v>
      </c>
      <c r="C49" s="40">
        <v>989</v>
      </c>
      <c r="D49" s="40" t="s">
        <v>288</v>
      </c>
      <c r="E49" s="61">
        <v>1</v>
      </c>
      <c r="F49" s="61"/>
      <c r="G49" s="61">
        <v>1</v>
      </c>
      <c r="H49" s="61"/>
      <c r="I49" s="61">
        <v>1</v>
      </c>
      <c r="J49" s="61"/>
      <c r="K49" s="61">
        <f t="shared" si="9"/>
        <v>3</v>
      </c>
      <c r="L49" s="40">
        <v>33</v>
      </c>
    </row>
    <row r="50" spans="1:12" x14ac:dyDescent="0.25">
      <c r="A50" s="40">
        <v>11678</v>
      </c>
      <c r="B50" s="40" t="s">
        <v>95</v>
      </c>
      <c r="C50" s="40">
        <v>4202</v>
      </c>
      <c r="D50" s="40" t="s">
        <v>289</v>
      </c>
      <c r="E50" s="61"/>
      <c r="F50" s="61">
        <v>1</v>
      </c>
      <c r="G50" s="61"/>
      <c r="H50" s="61">
        <v>1</v>
      </c>
      <c r="I50" s="61"/>
      <c r="J50" s="61"/>
      <c r="K50" s="61">
        <f t="shared" si="9"/>
        <v>2</v>
      </c>
      <c r="L50" s="40">
        <v>34</v>
      </c>
    </row>
    <row r="51" spans="1:12" x14ac:dyDescent="0.25">
      <c r="A51" s="26">
        <v>11678</v>
      </c>
      <c r="B51" s="26" t="s">
        <v>95</v>
      </c>
      <c r="C51" s="26">
        <v>186</v>
      </c>
      <c r="D51" s="26" t="s">
        <v>290</v>
      </c>
      <c r="E51" s="63"/>
      <c r="F51" s="63">
        <v>1</v>
      </c>
      <c r="G51" s="63"/>
      <c r="H51" s="62">
        <v>0</v>
      </c>
      <c r="I51" s="63"/>
      <c r="J51" s="63"/>
      <c r="K51" s="63">
        <f t="shared" si="9"/>
        <v>1</v>
      </c>
      <c r="L51" s="26">
        <v>7</v>
      </c>
    </row>
    <row r="52" spans="1:12" x14ac:dyDescent="0.25">
      <c r="A52" s="40">
        <v>11678</v>
      </c>
      <c r="B52" s="40" t="s">
        <v>95</v>
      </c>
      <c r="C52" s="40">
        <v>950</v>
      </c>
      <c r="D52" s="40" t="s">
        <v>291</v>
      </c>
      <c r="E52" s="61"/>
      <c r="F52" s="61">
        <v>1</v>
      </c>
      <c r="G52" s="61"/>
      <c r="H52" s="61">
        <v>1</v>
      </c>
      <c r="I52" s="61">
        <v>1</v>
      </c>
      <c r="J52" s="61"/>
      <c r="K52" s="61">
        <f t="shared" si="9"/>
        <v>3</v>
      </c>
      <c r="L52" s="40">
        <v>36</v>
      </c>
    </row>
    <row r="53" spans="1:12" x14ac:dyDescent="0.25">
      <c r="A53" s="26">
        <v>11678</v>
      </c>
      <c r="B53" s="26" t="s">
        <v>95</v>
      </c>
      <c r="C53" s="26">
        <v>11825</v>
      </c>
      <c r="D53" s="26" t="s">
        <v>292</v>
      </c>
      <c r="E53" s="63">
        <v>1</v>
      </c>
      <c r="F53" s="63"/>
      <c r="G53" s="62">
        <v>0</v>
      </c>
      <c r="H53" s="63"/>
      <c r="I53" s="63"/>
      <c r="J53" s="63"/>
      <c r="K53" s="63">
        <f t="shared" si="9"/>
        <v>1</v>
      </c>
      <c r="L53" s="26">
        <v>11</v>
      </c>
    </row>
    <row r="55" spans="1:12" x14ac:dyDescent="0.25">
      <c r="E55" s="59">
        <f>SUM(E57:E66)</f>
        <v>4</v>
      </c>
      <c r="F55" s="59">
        <f t="shared" ref="F55:J55" si="10">SUM(F57:F66)</f>
        <v>5</v>
      </c>
      <c r="G55" s="59">
        <f t="shared" si="10"/>
        <v>5</v>
      </c>
      <c r="H55" s="59">
        <f t="shared" si="10"/>
        <v>4</v>
      </c>
      <c r="I55" s="59">
        <f t="shared" si="10"/>
        <v>4</v>
      </c>
      <c r="J55" s="59">
        <f t="shared" si="10"/>
        <v>2</v>
      </c>
      <c r="K55" s="59"/>
    </row>
    <row r="56" spans="1:12" x14ac:dyDescent="0.25">
      <c r="A56" s="42" t="s">
        <v>23</v>
      </c>
      <c r="B56" s="42" t="s">
        <v>21</v>
      </c>
      <c r="C56" s="20" t="s">
        <v>70</v>
      </c>
      <c r="D56" s="20" t="s">
        <v>71</v>
      </c>
      <c r="E56" s="60" t="s">
        <v>77</v>
      </c>
      <c r="F56" s="60" t="s">
        <v>78</v>
      </c>
      <c r="G56" s="60" t="s">
        <v>79</v>
      </c>
      <c r="H56" s="60" t="s">
        <v>80</v>
      </c>
      <c r="I56" s="60" t="s">
        <v>81</v>
      </c>
      <c r="J56" s="60" t="s">
        <v>82</v>
      </c>
      <c r="K56" s="60" t="s">
        <v>366</v>
      </c>
      <c r="L56" s="16" t="s">
        <v>388</v>
      </c>
    </row>
    <row r="57" spans="1:12" x14ac:dyDescent="0.25">
      <c r="A57" s="40">
        <v>11868</v>
      </c>
      <c r="B57" s="40" t="s">
        <v>115</v>
      </c>
      <c r="C57" s="40">
        <v>9487</v>
      </c>
      <c r="D57" s="40" t="s">
        <v>293</v>
      </c>
      <c r="E57" s="61"/>
      <c r="F57" s="61">
        <v>1</v>
      </c>
      <c r="G57" s="61"/>
      <c r="H57" s="61">
        <v>1</v>
      </c>
      <c r="I57" s="61"/>
      <c r="J57" s="61">
        <v>1</v>
      </c>
      <c r="K57" s="61">
        <f t="shared" ref="K57:K66" si="11">SUM(E57:J57)</f>
        <v>3</v>
      </c>
      <c r="L57" s="40">
        <v>31</v>
      </c>
    </row>
    <row r="58" spans="1:12" x14ac:dyDescent="0.25">
      <c r="A58" s="26">
        <v>11868</v>
      </c>
      <c r="B58" s="26" t="s">
        <v>115</v>
      </c>
      <c r="C58" s="26">
        <v>557</v>
      </c>
      <c r="D58" s="26" t="s">
        <v>294</v>
      </c>
      <c r="E58" s="63"/>
      <c r="F58" s="63">
        <v>1</v>
      </c>
      <c r="G58" s="63"/>
      <c r="H58" s="62">
        <v>0</v>
      </c>
      <c r="I58" s="63"/>
      <c r="J58" s="63"/>
      <c r="K58" s="63">
        <f t="shared" si="11"/>
        <v>1</v>
      </c>
      <c r="L58" s="26">
        <v>11</v>
      </c>
    </row>
    <row r="59" spans="1:12" x14ac:dyDescent="0.25">
      <c r="A59" s="40">
        <v>11868</v>
      </c>
      <c r="B59" s="40" t="s">
        <v>115</v>
      </c>
      <c r="C59" s="40">
        <v>8971165</v>
      </c>
      <c r="D59" s="40" t="s">
        <v>295</v>
      </c>
      <c r="E59" s="61"/>
      <c r="F59" s="61">
        <v>1</v>
      </c>
      <c r="G59" s="61"/>
      <c r="H59" s="61">
        <v>1</v>
      </c>
      <c r="I59" s="61"/>
      <c r="J59" s="61"/>
      <c r="K59" s="61">
        <f t="shared" si="11"/>
        <v>2</v>
      </c>
      <c r="L59" s="40">
        <v>19</v>
      </c>
    </row>
    <row r="60" spans="1:12" x14ac:dyDescent="0.25">
      <c r="A60" s="40">
        <v>11868</v>
      </c>
      <c r="B60" s="40" t="s">
        <v>115</v>
      </c>
      <c r="C60" s="40">
        <v>3166</v>
      </c>
      <c r="D60" s="40" t="s">
        <v>296</v>
      </c>
      <c r="E60" s="61">
        <v>1</v>
      </c>
      <c r="F60" s="61"/>
      <c r="G60" s="61">
        <v>1</v>
      </c>
      <c r="H60" s="61"/>
      <c r="I60" s="61">
        <v>1</v>
      </c>
      <c r="J60" s="61"/>
      <c r="K60" s="61">
        <f t="shared" si="11"/>
        <v>3</v>
      </c>
      <c r="L60" s="40">
        <v>34</v>
      </c>
    </row>
    <row r="61" spans="1:12" x14ac:dyDescent="0.25">
      <c r="A61" s="40">
        <v>11868</v>
      </c>
      <c r="B61" s="40" t="s">
        <v>115</v>
      </c>
      <c r="C61" s="40">
        <v>8900001</v>
      </c>
      <c r="D61" s="40" t="s">
        <v>297</v>
      </c>
      <c r="E61" s="61">
        <v>1</v>
      </c>
      <c r="F61" s="61"/>
      <c r="G61" s="61">
        <v>1</v>
      </c>
      <c r="H61" s="61"/>
      <c r="I61" s="61">
        <v>1</v>
      </c>
      <c r="J61" s="61"/>
      <c r="K61" s="61">
        <f t="shared" si="11"/>
        <v>3</v>
      </c>
      <c r="L61" s="40">
        <v>38</v>
      </c>
    </row>
    <row r="62" spans="1:12" x14ac:dyDescent="0.25">
      <c r="A62" s="40">
        <v>11868</v>
      </c>
      <c r="B62" s="40" t="s">
        <v>115</v>
      </c>
      <c r="C62" s="40">
        <v>8971163</v>
      </c>
      <c r="D62" s="40" t="s">
        <v>298</v>
      </c>
      <c r="E62" s="61"/>
      <c r="F62" s="61">
        <v>1</v>
      </c>
      <c r="G62" s="61"/>
      <c r="H62" s="61">
        <v>1</v>
      </c>
      <c r="I62" s="61"/>
      <c r="J62" s="61">
        <v>1</v>
      </c>
      <c r="K62" s="61">
        <f t="shared" si="11"/>
        <v>3</v>
      </c>
      <c r="L62" s="40">
        <v>19</v>
      </c>
    </row>
    <row r="63" spans="1:12" x14ac:dyDescent="0.25">
      <c r="A63" s="40">
        <v>11868</v>
      </c>
      <c r="B63" s="40" t="s">
        <v>115</v>
      </c>
      <c r="C63" s="40">
        <v>874</v>
      </c>
      <c r="D63" s="40" t="s">
        <v>299</v>
      </c>
      <c r="E63" s="61">
        <v>1</v>
      </c>
      <c r="F63" s="61"/>
      <c r="G63" s="61">
        <v>1</v>
      </c>
      <c r="H63" s="61"/>
      <c r="I63" s="61">
        <v>1</v>
      </c>
      <c r="J63" s="61"/>
      <c r="K63" s="61">
        <f t="shared" si="11"/>
        <v>3</v>
      </c>
      <c r="L63" s="40">
        <v>35</v>
      </c>
    </row>
    <row r="64" spans="1:12" x14ac:dyDescent="0.25">
      <c r="A64" s="40">
        <v>11868</v>
      </c>
      <c r="B64" s="40" t="s">
        <v>115</v>
      </c>
      <c r="C64" s="40">
        <v>1043</v>
      </c>
      <c r="D64" s="40" t="s">
        <v>300</v>
      </c>
      <c r="E64" s="61">
        <v>1</v>
      </c>
      <c r="F64" s="61"/>
      <c r="G64" s="61">
        <v>1</v>
      </c>
      <c r="H64" s="61"/>
      <c r="I64" s="61">
        <v>1</v>
      </c>
      <c r="J64" s="61"/>
      <c r="K64" s="61">
        <f t="shared" si="11"/>
        <v>3</v>
      </c>
      <c r="L64" s="40">
        <v>36</v>
      </c>
    </row>
    <row r="65" spans="1:12" x14ac:dyDescent="0.25">
      <c r="A65" s="26">
        <v>11868</v>
      </c>
      <c r="B65" s="26" t="s">
        <v>115</v>
      </c>
      <c r="C65" s="26">
        <v>879</v>
      </c>
      <c r="D65" s="26" t="s">
        <v>301</v>
      </c>
      <c r="E65" s="63"/>
      <c r="F65" s="63"/>
      <c r="G65" s="63">
        <v>1</v>
      </c>
      <c r="H65" s="63"/>
      <c r="I65" s="62">
        <v>0</v>
      </c>
      <c r="J65" s="63"/>
      <c r="K65" s="63">
        <f t="shared" si="11"/>
        <v>1</v>
      </c>
      <c r="L65" s="26">
        <v>7</v>
      </c>
    </row>
    <row r="66" spans="1:12" x14ac:dyDescent="0.25">
      <c r="A66" s="40">
        <v>11868</v>
      </c>
      <c r="B66" s="40" t="s">
        <v>115</v>
      </c>
      <c r="C66" s="40">
        <v>9602</v>
      </c>
      <c r="D66" s="40" t="s">
        <v>302</v>
      </c>
      <c r="E66" s="61"/>
      <c r="F66" s="61">
        <v>1</v>
      </c>
      <c r="G66" s="61"/>
      <c r="H66" s="61">
        <v>1</v>
      </c>
      <c r="I66" s="61"/>
      <c r="J66" s="61"/>
      <c r="K66" s="61">
        <f t="shared" si="11"/>
        <v>2</v>
      </c>
      <c r="L66" s="40">
        <v>35</v>
      </c>
    </row>
    <row r="67" spans="1:12" x14ac:dyDescent="0.2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2" x14ac:dyDescent="0.25">
      <c r="E68" s="59">
        <f>SUM(E70:E78)</f>
        <v>4</v>
      </c>
      <c r="F68" s="59">
        <f t="shared" ref="F68:J68" si="12">SUM(F70:F78)</f>
        <v>4</v>
      </c>
      <c r="G68" s="59">
        <f t="shared" si="12"/>
        <v>3</v>
      </c>
      <c r="H68" s="59">
        <f t="shared" si="12"/>
        <v>2</v>
      </c>
      <c r="I68" s="59">
        <f t="shared" si="12"/>
        <v>3</v>
      </c>
      <c r="J68" s="59">
        <f t="shared" si="12"/>
        <v>1</v>
      </c>
      <c r="K68" s="59"/>
    </row>
    <row r="69" spans="1:12" x14ac:dyDescent="0.25">
      <c r="A69" s="42" t="s">
        <v>23</v>
      </c>
      <c r="B69" s="42" t="s">
        <v>21</v>
      </c>
      <c r="C69" s="20" t="s">
        <v>70</v>
      </c>
      <c r="D69" s="20" t="s">
        <v>71</v>
      </c>
      <c r="E69" s="60" t="s">
        <v>77</v>
      </c>
      <c r="F69" s="60" t="s">
        <v>78</v>
      </c>
      <c r="G69" s="60" t="s">
        <v>79</v>
      </c>
      <c r="H69" s="60" t="s">
        <v>80</v>
      </c>
      <c r="I69" s="60" t="s">
        <v>81</v>
      </c>
      <c r="J69" s="60" t="s">
        <v>82</v>
      </c>
      <c r="K69" s="60" t="s">
        <v>366</v>
      </c>
      <c r="L69" s="16" t="s">
        <v>388</v>
      </c>
    </row>
    <row r="70" spans="1:12" x14ac:dyDescent="0.25">
      <c r="A70" s="26">
        <v>11932</v>
      </c>
      <c r="B70" s="26" t="s">
        <v>130</v>
      </c>
      <c r="C70" s="26">
        <v>4197</v>
      </c>
      <c r="D70" s="26" t="s">
        <v>303</v>
      </c>
      <c r="E70" s="63"/>
      <c r="F70" s="63">
        <v>1</v>
      </c>
      <c r="G70" s="63"/>
      <c r="H70" s="62">
        <v>0</v>
      </c>
      <c r="I70" s="63"/>
      <c r="J70" s="63"/>
      <c r="K70" s="63">
        <f t="shared" ref="K70:K78" si="13">SUM(E70:J70)</f>
        <v>1</v>
      </c>
      <c r="L70" s="26">
        <v>11</v>
      </c>
    </row>
    <row r="71" spans="1:12" x14ac:dyDescent="0.25">
      <c r="A71" s="40">
        <v>11932</v>
      </c>
      <c r="B71" s="40" t="s">
        <v>130</v>
      </c>
      <c r="C71" s="40">
        <v>958</v>
      </c>
      <c r="D71" s="40" t="s">
        <v>304</v>
      </c>
      <c r="E71" s="61">
        <v>1</v>
      </c>
      <c r="F71" s="61"/>
      <c r="G71" s="61">
        <v>1</v>
      </c>
      <c r="H71" s="61"/>
      <c r="I71" s="61">
        <v>1</v>
      </c>
      <c r="J71" s="61"/>
      <c r="K71" s="61">
        <f t="shared" si="13"/>
        <v>3</v>
      </c>
      <c r="L71" s="40">
        <v>35</v>
      </c>
    </row>
    <row r="72" spans="1:12" x14ac:dyDescent="0.25">
      <c r="A72" s="26">
        <v>11932</v>
      </c>
      <c r="B72" s="26" t="s">
        <v>130</v>
      </c>
      <c r="C72" s="26">
        <v>228</v>
      </c>
      <c r="D72" s="26" t="s">
        <v>305</v>
      </c>
      <c r="E72" s="63">
        <v>1</v>
      </c>
      <c r="F72" s="63"/>
      <c r="G72" s="62">
        <v>0</v>
      </c>
      <c r="H72" s="63"/>
      <c r="I72" s="63"/>
      <c r="J72" s="63"/>
      <c r="K72" s="63">
        <f t="shared" si="13"/>
        <v>1</v>
      </c>
      <c r="L72" s="26">
        <v>7</v>
      </c>
    </row>
    <row r="73" spans="1:12" x14ac:dyDescent="0.25">
      <c r="A73" s="40">
        <v>11932</v>
      </c>
      <c r="B73" s="40" t="s">
        <v>130</v>
      </c>
      <c r="C73" s="40">
        <v>967</v>
      </c>
      <c r="D73" s="40" t="s">
        <v>306</v>
      </c>
      <c r="E73" s="61">
        <v>1</v>
      </c>
      <c r="F73" s="61"/>
      <c r="G73" s="61">
        <v>1</v>
      </c>
      <c r="H73" s="61"/>
      <c r="I73" s="61">
        <v>1</v>
      </c>
      <c r="J73" s="61"/>
      <c r="K73" s="61">
        <f t="shared" si="13"/>
        <v>3</v>
      </c>
      <c r="L73" s="40">
        <v>35</v>
      </c>
    </row>
    <row r="74" spans="1:12" x14ac:dyDescent="0.25">
      <c r="A74" s="40">
        <v>11932</v>
      </c>
      <c r="B74" s="40" t="s">
        <v>130</v>
      </c>
      <c r="C74" s="40">
        <v>9339</v>
      </c>
      <c r="D74" s="40" t="s">
        <v>307</v>
      </c>
      <c r="E74" s="61">
        <v>1</v>
      </c>
      <c r="F74" s="61"/>
      <c r="G74" s="61">
        <v>1</v>
      </c>
      <c r="H74" s="61"/>
      <c r="I74" s="61">
        <v>1</v>
      </c>
      <c r="J74" s="61"/>
      <c r="K74" s="61">
        <f t="shared" si="13"/>
        <v>3</v>
      </c>
      <c r="L74" s="40">
        <v>36</v>
      </c>
    </row>
    <row r="75" spans="1:12" x14ac:dyDescent="0.25">
      <c r="A75" s="26">
        <v>11932</v>
      </c>
      <c r="B75" s="26" t="s">
        <v>130</v>
      </c>
      <c r="C75" s="26">
        <v>4141</v>
      </c>
      <c r="D75" s="26" t="s">
        <v>308</v>
      </c>
      <c r="E75" s="63"/>
      <c r="F75" s="63">
        <v>1</v>
      </c>
      <c r="G75" s="63"/>
      <c r="H75" s="62">
        <v>0</v>
      </c>
      <c r="I75" s="63"/>
      <c r="J75" s="62">
        <v>0</v>
      </c>
      <c r="K75" s="61">
        <f t="shared" si="13"/>
        <v>1</v>
      </c>
      <c r="L75" s="26">
        <v>12</v>
      </c>
    </row>
    <row r="76" spans="1:12" x14ac:dyDescent="0.25">
      <c r="A76" s="26">
        <v>11932</v>
      </c>
      <c r="B76" s="26" t="s">
        <v>130</v>
      </c>
      <c r="C76" s="26">
        <v>3815</v>
      </c>
      <c r="D76" s="26" t="s">
        <v>309</v>
      </c>
      <c r="E76" s="63"/>
      <c r="F76" s="63">
        <v>1</v>
      </c>
      <c r="G76" s="63"/>
      <c r="H76" s="63">
        <v>1</v>
      </c>
      <c r="I76" s="63"/>
      <c r="J76" s="63"/>
      <c r="K76" s="61">
        <f t="shared" si="13"/>
        <v>2</v>
      </c>
      <c r="L76" s="26">
        <v>9</v>
      </c>
    </row>
    <row r="77" spans="1:12" x14ac:dyDescent="0.25">
      <c r="A77" s="26">
        <v>11932</v>
      </c>
      <c r="B77" s="26" t="s">
        <v>130</v>
      </c>
      <c r="C77" s="26">
        <v>3616</v>
      </c>
      <c r="D77" s="26" t="s">
        <v>310</v>
      </c>
      <c r="E77" s="63"/>
      <c r="F77" s="63"/>
      <c r="G77" s="63"/>
      <c r="H77" s="63"/>
      <c r="I77" s="63"/>
      <c r="J77" s="63">
        <v>1</v>
      </c>
      <c r="K77" s="63">
        <f t="shared" si="13"/>
        <v>1</v>
      </c>
      <c r="L77" s="26">
        <v>7</v>
      </c>
    </row>
    <row r="78" spans="1:12" x14ac:dyDescent="0.25">
      <c r="A78" s="40">
        <v>11932</v>
      </c>
      <c r="B78" s="40" t="s">
        <v>130</v>
      </c>
      <c r="C78" s="40">
        <v>10946</v>
      </c>
      <c r="D78" s="40" t="s">
        <v>311</v>
      </c>
      <c r="E78" s="61"/>
      <c r="F78" s="61">
        <v>1</v>
      </c>
      <c r="G78" s="61"/>
      <c r="H78" s="61">
        <v>1</v>
      </c>
      <c r="I78" s="61"/>
      <c r="J78" s="61"/>
      <c r="K78" s="61">
        <f t="shared" si="13"/>
        <v>2</v>
      </c>
      <c r="L78" s="40">
        <v>33</v>
      </c>
    </row>
    <row r="79" spans="1:12" x14ac:dyDescent="0.2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2" x14ac:dyDescent="0.25">
      <c r="E80" s="59">
        <f>SUM(E82:E91)</f>
        <v>4</v>
      </c>
      <c r="F80" s="59">
        <f t="shared" ref="F80:J80" si="14">SUM(F82:F91)</f>
        <v>4</v>
      </c>
      <c r="G80" s="59">
        <f t="shared" si="14"/>
        <v>4</v>
      </c>
      <c r="H80" s="59">
        <f t="shared" si="14"/>
        <v>4</v>
      </c>
      <c r="I80" s="59">
        <f t="shared" si="14"/>
        <v>4</v>
      </c>
      <c r="J80" s="59">
        <f t="shared" si="14"/>
        <v>1</v>
      </c>
      <c r="K80" s="59"/>
    </row>
    <row r="81" spans="1:12" x14ac:dyDescent="0.25">
      <c r="A81" s="42" t="s">
        <v>23</v>
      </c>
      <c r="B81" s="42" t="s">
        <v>21</v>
      </c>
      <c r="C81" s="20" t="s">
        <v>70</v>
      </c>
      <c r="D81" s="20" t="s">
        <v>71</v>
      </c>
      <c r="E81" s="60" t="s">
        <v>77</v>
      </c>
      <c r="F81" s="60" t="s">
        <v>78</v>
      </c>
      <c r="G81" s="60" t="s">
        <v>79</v>
      </c>
      <c r="H81" s="60" t="s">
        <v>80</v>
      </c>
      <c r="I81" s="60" t="s">
        <v>81</v>
      </c>
      <c r="J81" s="60" t="s">
        <v>82</v>
      </c>
      <c r="K81" s="60" t="s">
        <v>366</v>
      </c>
      <c r="L81" s="16" t="s">
        <v>388</v>
      </c>
    </row>
    <row r="82" spans="1:12" x14ac:dyDescent="0.25">
      <c r="A82" s="40">
        <v>12087</v>
      </c>
      <c r="B82" s="40" t="s">
        <v>233</v>
      </c>
      <c r="C82" s="40">
        <v>8900015</v>
      </c>
      <c r="D82" s="40" t="s">
        <v>365</v>
      </c>
      <c r="E82" s="61">
        <v>1</v>
      </c>
      <c r="F82" s="61"/>
      <c r="G82" s="61">
        <v>1</v>
      </c>
      <c r="H82" s="61"/>
      <c r="I82" s="61">
        <v>1</v>
      </c>
      <c r="J82" s="61">
        <v>1</v>
      </c>
      <c r="K82" s="61">
        <f t="shared" ref="K82:K91" si="15">SUM(E82:J82)</f>
        <v>4</v>
      </c>
      <c r="L82" s="40">
        <v>38</v>
      </c>
    </row>
    <row r="83" spans="1:12" x14ac:dyDescent="0.25">
      <c r="A83" s="40">
        <v>12087</v>
      </c>
      <c r="B83" s="40" t="s">
        <v>233</v>
      </c>
      <c r="C83" s="40">
        <v>1006</v>
      </c>
      <c r="D83" s="40" t="s">
        <v>373</v>
      </c>
      <c r="E83" s="61">
        <v>1</v>
      </c>
      <c r="F83" s="61"/>
      <c r="G83" s="61">
        <v>1</v>
      </c>
      <c r="H83" s="61"/>
      <c r="I83" s="61">
        <v>1</v>
      </c>
      <c r="J83" s="61"/>
      <c r="K83" s="61">
        <f t="shared" si="15"/>
        <v>3</v>
      </c>
      <c r="L83" s="40">
        <v>36</v>
      </c>
    </row>
    <row r="84" spans="1:12" x14ac:dyDescent="0.25">
      <c r="A84" s="26">
        <v>12087</v>
      </c>
      <c r="B84" s="26" t="s">
        <v>233</v>
      </c>
      <c r="C84" s="26">
        <v>268</v>
      </c>
      <c r="D84" s="26" t="s">
        <v>374</v>
      </c>
      <c r="E84" s="63"/>
      <c r="F84" s="63"/>
      <c r="G84" s="63"/>
      <c r="H84" s="63"/>
      <c r="I84" s="63">
        <v>1</v>
      </c>
      <c r="J84" s="63"/>
      <c r="K84" s="63">
        <f t="shared" si="15"/>
        <v>1</v>
      </c>
      <c r="L84" s="26">
        <v>7</v>
      </c>
    </row>
    <row r="85" spans="1:12" x14ac:dyDescent="0.25">
      <c r="A85" s="26">
        <v>12087</v>
      </c>
      <c r="B85" s="26" t="s">
        <v>233</v>
      </c>
      <c r="C85" s="26">
        <v>276</v>
      </c>
      <c r="D85" s="26" t="s">
        <v>375</v>
      </c>
      <c r="E85" s="63">
        <v>1</v>
      </c>
      <c r="F85" s="63"/>
      <c r="G85" s="63"/>
      <c r="H85" s="63"/>
      <c r="I85" s="63"/>
      <c r="J85" s="63"/>
      <c r="K85" s="63">
        <f t="shared" si="15"/>
        <v>1</v>
      </c>
      <c r="L85" s="26">
        <v>7</v>
      </c>
    </row>
    <row r="86" spans="1:12" x14ac:dyDescent="0.25">
      <c r="A86" s="26">
        <v>12087</v>
      </c>
      <c r="B86" s="26" t="s">
        <v>233</v>
      </c>
      <c r="C86" s="26">
        <v>218</v>
      </c>
      <c r="D86" s="26" t="s">
        <v>376</v>
      </c>
      <c r="E86" s="63"/>
      <c r="F86" s="63"/>
      <c r="G86" s="63">
        <v>1</v>
      </c>
      <c r="H86" s="63"/>
      <c r="I86" s="63"/>
      <c r="J86" s="62">
        <v>0</v>
      </c>
      <c r="K86" s="63">
        <f t="shared" si="15"/>
        <v>1</v>
      </c>
      <c r="L86" s="26">
        <v>7</v>
      </c>
    </row>
    <row r="87" spans="1:12" x14ac:dyDescent="0.25">
      <c r="A87" s="40">
        <v>12087</v>
      </c>
      <c r="B87" s="40" t="s">
        <v>233</v>
      </c>
      <c r="C87" s="40">
        <v>954</v>
      </c>
      <c r="D87" s="40" t="s">
        <v>377</v>
      </c>
      <c r="E87" s="61"/>
      <c r="F87" s="61">
        <v>1</v>
      </c>
      <c r="G87" s="61"/>
      <c r="H87" s="61">
        <v>1</v>
      </c>
      <c r="I87" s="61"/>
      <c r="J87" s="61"/>
      <c r="K87" s="61">
        <f t="shared" si="15"/>
        <v>2</v>
      </c>
      <c r="L87" s="40">
        <v>36</v>
      </c>
    </row>
    <row r="88" spans="1:12" x14ac:dyDescent="0.25">
      <c r="A88" s="40">
        <v>12087</v>
      </c>
      <c r="B88" s="40" t="s">
        <v>233</v>
      </c>
      <c r="C88" s="40">
        <v>212</v>
      </c>
      <c r="D88" s="40" t="s">
        <v>378</v>
      </c>
      <c r="E88" s="61">
        <v>1</v>
      </c>
      <c r="F88" s="61"/>
      <c r="G88" s="61">
        <v>1</v>
      </c>
      <c r="H88" s="61"/>
      <c r="I88" s="61">
        <v>1</v>
      </c>
      <c r="J88" s="61"/>
      <c r="K88" s="61">
        <f t="shared" si="15"/>
        <v>3</v>
      </c>
      <c r="L88" s="40">
        <v>34</v>
      </c>
    </row>
    <row r="89" spans="1:12" x14ac:dyDescent="0.25">
      <c r="A89" s="40">
        <v>12087</v>
      </c>
      <c r="B89" s="40" t="s">
        <v>233</v>
      </c>
      <c r="C89" s="40">
        <v>11899</v>
      </c>
      <c r="D89" s="40" t="s">
        <v>379</v>
      </c>
      <c r="E89" s="61"/>
      <c r="F89" s="61">
        <v>1</v>
      </c>
      <c r="G89" s="61"/>
      <c r="H89" s="61">
        <v>1</v>
      </c>
      <c r="I89" s="61"/>
      <c r="J89" s="61"/>
      <c r="K89" s="61">
        <f t="shared" si="15"/>
        <v>2</v>
      </c>
      <c r="L89" s="40">
        <v>34</v>
      </c>
    </row>
    <row r="90" spans="1:12" x14ac:dyDescent="0.25">
      <c r="A90" s="40">
        <v>12087</v>
      </c>
      <c r="B90" s="40" t="s">
        <v>233</v>
      </c>
      <c r="C90" s="40">
        <v>11851</v>
      </c>
      <c r="D90" s="40" t="s">
        <v>380</v>
      </c>
      <c r="E90" s="61"/>
      <c r="F90" s="61">
        <v>1</v>
      </c>
      <c r="G90" s="61"/>
      <c r="H90" s="61">
        <v>1</v>
      </c>
      <c r="I90" s="61"/>
      <c r="J90" s="61"/>
      <c r="K90" s="61">
        <f t="shared" si="15"/>
        <v>2</v>
      </c>
      <c r="L90" s="40">
        <v>34</v>
      </c>
    </row>
    <row r="91" spans="1:12" x14ac:dyDescent="0.25">
      <c r="A91" s="40">
        <v>12087</v>
      </c>
      <c r="B91" s="40" t="s">
        <v>233</v>
      </c>
      <c r="C91" s="40">
        <v>10947</v>
      </c>
      <c r="D91" s="40" t="s">
        <v>381</v>
      </c>
      <c r="E91" s="61"/>
      <c r="F91" s="61">
        <v>1</v>
      </c>
      <c r="G91" s="61"/>
      <c r="H91" s="61">
        <v>1</v>
      </c>
      <c r="I91" s="61"/>
      <c r="J91" s="61"/>
      <c r="K91" s="61">
        <f t="shared" si="15"/>
        <v>2</v>
      </c>
      <c r="L91" s="40">
        <v>26</v>
      </c>
    </row>
    <row r="92" spans="1:12" x14ac:dyDescent="0.2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</row>
    <row r="93" spans="1:12" x14ac:dyDescent="0.25">
      <c r="E93" s="59">
        <f>SUM(E95:E104)</f>
        <v>4</v>
      </c>
      <c r="F93" s="59">
        <f t="shared" ref="F93:J93" si="16">SUM(F95:F104)</f>
        <v>4</v>
      </c>
      <c r="G93" s="59">
        <f t="shared" si="16"/>
        <v>4</v>
      </c>
      <c r="H93" s="59">
        <f t="shared" si="16"/>
        <v>4</v>
      </c>
      <c r="I93" s="59">
        <f t="shared" si="16"/>
        <v>4</v>
      </c>
      <c r="J93" s="59">
        <f t="shared" si="16"/>
        <v>2</v>
      </c>
      <c r="K93" s="59"/>
    </row>
    <row r="94" spans="1:12" x14ac:dyDescent="0.25">
      <c r="A94" s="42" t="s">
        <v>23</v>
      </c>
      <c r="B94" s="42" t="s">
        <v>21</v>
      </c>
      <c r="C94" s="20" t="s">
        <v>70</v>
      </c>
      <c r="D94" s="20" t="s">
        <v>71</v>
      </c>
      <c r="E94" s="60" t="s">
        <v>77</v>
      </c>
      <c r="F94" s="60" t="s">
        <v>78</v>
      </c>
      <c r="G94" s="60" t="s">
        <v>79</v>
      </c>
      <c r="H94" s="60" t="s">
        <v>80</v>
      </c>
      <c r="I94" s="60" t="s">
        <v>81</v>
      </c>
      <c r="J94" s="60" t="s">
        <v>82</v>
      </c>
      <c r="K94" s="60" t="s">
        <v>366</v>
      </c>
      <c r="L94" s="16" t="s">
        <v>388</v>
      </c>
    </row>
    <row r="95" spans="1:12" x14ac:dyDescent="0.25">
      <c r="A95" s="26">
        <v>12028</v>
      </c>
      <c r="B95" s="26" t="s">
        <v>152</v>
      </c>
      <c r="C95" s="26">
        <v>8975473</v>
      </c>
      <c r="D95" s="26" t="s">
        <v>317</v>
      </c>
      <c r="E95" s="63"/>
      <c r="F95" s="63"/>
      <c r="G95" s="63"/>
      <c r="H95" s="63"/>
      <c r="I95" s="63"/>
      <c r="J95" s="63">
        <v>1</v>
      </c>
      <c r="K95" s="63">
        <v>1</v>
      </c>
      <c r="L95" s="26">
        <v>7</v>
      </c>
    </row>
    <row r="96" spans="1:12" x14ac:dyDescent="0.25">
      <c r="A96" s="40">
        <v>12028</v>
      </c>
      <c r="B96" s="40" t="s">
        <v>152</v>
      </c>
      <c r="C96" s="40">
        <v>1025</v>
      </c>
      <c r="D96" s="40" t="s">
        <v>318</v>
      </c>
      <c r="E96" s="61">
        <v>1</v>
      </c>
      <c r="F96" s="61"/>
      <c r="G96" s="61">
        <v>1</v>
      </c>
      <c r="H96" s="61"/>
      <c r="I96" s="61">
        <v>1</v>
      </c>
      <c r="J96" s="61"/>
      <c r="K96" s="61">
        <v>3</v>
      </c>
      <c r="L96" s="40">
        <v>36</v>
      </c>
    </row>
    <row r="97" spans="1:12" x14ac:dyDescent="0.25">
      <c r="A97" s="40">
        <v>12028</v>
      </c>
      <c r="B97" s="40" t="s">
        <v>152</v>
      </c>
      <c r="C97" s="40">
        <v>1482</v>
      </c>
      <c r="D97" s="40" t="s">
        <v>319</v>
      </c>
      <c r="E97" s="61"/>
      <c r="F97" s="61">
        <v>1</v>
      </c>
      <c r="G97" s="61"/>
      <c r="H97" s="61">
        <v>1</v>
      </c>
      <c r="I97" s="61"/>
      <c r="J97" s="61"/>
      <c r="K97" s="61">
        <v>2</v>
      </c>
      <c r="L97" s="40">
        <v>35</v>
      </c>
    </row>
    <row r="98" spans="1:12" x14ac:dyDescent="0.25">
      <c r="A98" s="40">
        <v>12028</v>
      </c>
      <c r="B98" s="40" t="s">
        <v>152</v>
      </c>
      <c r="C98" s="40">
        <v>8971167</v>
      </c>
      <c r="D98" s="40" t="s">
        <v>320</v>
      </c>
      <c r="E98" s="61"/>
      <c r="F98" s="61">
        <v>1</v>
      </c>
      <c r="G98" s="61"/>
      <c r="H98" s="61">
        <v>1</v>
      </c>
      <c r="I98" s="61"/>
      <c r="J98" s="61"/>
      <c r="K98" s="61">
        <v>2</v>
      </c>
      <c r="L98" s="40">
        <v>19</v>
      </c>
    </row>
    <row r="99" spans="1:12" x14ac:dyDescent="0.25">
      <c r="A99" s="40">
        <v>12028</v>
      </c>
      <c r="B99" s="40" t="s">
        <v>152</v>
      </c>
      <c r="C99" s="40">
        <v>8900012</v>
      </c>
      <c r="D99" s="40" t="s">
        <v>321</v>
      </c>
      <c r="E99" s="61"/>
      <c r="F99" s="61">
        <v>1</v>
      </c>
      <c r="G99" s="61"/>
      <c r="H99" s="61">
        <v>1</v>
      </c>
      <c r="I99" s="61"/>
      <c r="J99" s="61"/>
      <c r="K99" s="61">
        <v>2</v>
      </c>
      <c r="L99" s="40">
        <v>38</v>
      </c>
    </row>
    <row r="100" spans="1:12" x14ac:dyDescent="0.25">
      <c r="A100" s="40">
        <v>12028</v>
      </c>
      <c r="B100" s="40" t="s">
        <v>152</v>
      </c>
      <c r="C100" s="40">
        <v>1049</v>
      </c>
      <c r="D100" s="40" t="s">
        <v>322</v>
      </c>
      <c r="E100" s="61">
        <v>1</v>
      </c>
      <c r="F100" s="61"/>
      <c r="G100" s="61">
        <v>1</v>
      </c>
      <c r="H100" s="61"/>
      <c r="I100" s="61">
        <v>1</v>
      </c>
      <c r="J100" s="61"/>
      <c r="K100" s="61">
        <v>3</v>
      </c>
      <c r="L100" s="40">
        <v>36</v>
      </c>
    </row>
    <row r="101" spans="1:12" x14ac:dyDescent="0.25">
      <c r="A101" s="26">
        <v>12028</v>
      </c>
      <c r="B101" s="26" t="s">
        <v>152</v>
      </c>
      <c r="C101" s="26">
        <v>4327</v>
      </c>
      <c r="D101" s="26" t="s">
        <v>323</v>
      </c>
      <c r="E101" s="63"/>
      <c r="F101" s="63"/>
      <c r="G101" s="63"/>
      <c r="H101" s="63"/>
      <c r="I101" s="63"/>
      <c r="J101" s="63">
        <v>1</v>
      </c>
      <c r="K101" s="63">
        <v>1</v>
      </c>
      <c r="L101" s="26">
        <v>7</v>
      </c>
    </row>
    <row r="102" spans="1:12" x14ac:dyDescent="0.25">
      <c r="A102" s="40">
        <v>12028</v>
      </c>
      <c r="B102" s="40" t="s">
        <v>152</v>
      </c>
      <c r="C102" s="40">
        <v>9346</v>
      </c>
      <c r="D102" s="40" t="s">
        <v>324</v>
      </c>
      <c r="E102" s="61"/>
      <c r="F102" s="61">
        <v>1</v>
      </c>
      <c r="G102" s="61"/>
      <c r="H102" s="61">
        <v>1</v>
      </c>
      <c r="I102" s="61"/>
      <c r="J102" s="61"/>
      <c r="K102" s="61">
        <v>2</v>
      </c>
      <c r="L102" s="40">
        <v>33</v>
      </c>
    </row>
    <row r="103" spans="1:12" x14ac:dyDescent="0.25">
      <c r="A103" s="40">
        <v>12028</v>
      </c>
      <c r="B103" s="40" t="s">
        <v>152</v>
      </c>
      <c r="C103" s="40">
        <v>11879</v>
      </c>
      <c r="D103" s="40" t="s">
        <v>325</v>
      </c>
      <c r="E103" s="61">
        <v>1</v>
      </c>
      <c r="F103" s="61"/>
      <c r="G103" s="61">
        <v>1</v>
      </c>
      <c r="H103" s="61"/>
      <c r="I103" s="61">
        <v>1</v>
      </c>
      <c r="J103" s="61"/>
      <c r="K103" s="61">
        <v>3</v>
      </c>
      <c r="L103" s="40">
        <v>37</v>
      </c>
    </row>
    <row r="104" spans="1:12" x14ac:dyDescent="0.25">
      <c r="A104" s="40">
        <v>12028</v>
      </c>
      <c r="B104" s="40" t="s">
        <v>152</v>
      </c>
      <c r="C104" s="40">
        <v>10977</v>
      </c>
      <c r="D104" s="40" t="s">
        <v>326</v>
      </c>
      <c r="E104" s="61">
        <v>1</v>
      </c>
      <c r="F104" s="61"/>
      <c r="G104" s="61">
        <v>1</v>
      </c>
      <c r="H104" s="61"/>
      <c r="I104" s="61">
        <v>1</v>
      </c>
      <c r="J104" s="61"/>
      <c r="K104" s="61">
        <v>3</v>
      </c>
      <c r="L104" s="40">
        <v>33</v>
      </c>
    </row>
    <row r="105" spans="1:12" x14ac:dyDescent="0.2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</row>
    <row r="106" spans="1:12" x14ac:dyDescent="0.25">
      <c r="E106" s="59">
        <f>SUM(E108:E115)</f>
        <v>4</v>
      </c>
      <c r="F106" s="59">
        <f t="shared" ref="F106:J106" si="17">SUM(F108:F115)</f>
        <v>4</v>
      </c>
      <c r="G106" s="59">
        <f t="shared" si="17"/>
        <v>4</v>
      </c>
      <c r="H106" s="59">
        <f t="shared" si="17"/>
        <v>3</v>
      </c>
      <c r="I106" s="59">
        <f t="shared" si="17"/>
        <v>4</v>
      </c>
      <c r="J106" s="59">
        <f t="shared" si="17"/>
        <v>2</v>
      </c>
      <c r="K106" s="59"/>
    </row>
    <row r="107" spans="1:12" x14ac:dyDescent="0.25">
      <c r="A107" s="42" t="s">
        <v>23</v>
      </c>
      <c r="B107" s="42" t="s">
        <v>21</v>
      </c>
      <c r="C107" s="20" t="s">
        <v>70</v>
      </c>
      <c r="D107" s="20" t="s">
        <v>71</v>
      </c>
      <c r="E107" s="60" t="s">
        <v>77</v>
      </c>
      <c r="F107" s="60" t="s">
        <v>78</v>
      </c>
      <c r="G107" s="60" t="s">
        <v>79</v>
      </c>
      <c r="H107" s="60" t="s">
        <v>80</v>
      </c>
      <c r="I107" s="60" t="s">
        <v>81</v>
      </c>
      <c r="J107" s="60" t="s">
        <v>82</v>
      </c>
      <c r="K107" s="60" t="s">
        <v>366</v>
      </c>
      <c r="L107" s="16" t="s">
        <v>388</v>
      </c>
    </row>
    <row r="108" spans="1:12" x14ac:dyDescent="0.25">
      <c r="A108" s="26">
        <v>12027</v>
      </c>
      <c r="B108" s="26" t="s">
        <v>169</v>
      </c>
      <c r="C108" s="26">
        <v>10722</v>
      </c>
      <c r="D108" s="26" t="s">
        <v>327</v>
      </c>
      <c r="E108" s="63"/>
      <c r="F108" s="63">
        <v>1</v>
      </c>
      <c r="G108" s="63"/>
      <c r="H108" s="62">
        <v>0</v>
      </c>
      <c r="I108" s="63"/>
      <c r="J108" s="63"/>
      <c r="K108" s="63">
        <f t="shared" ref="K108:K115" si="18">SUM(E108:J108)</f>
        <v>1</v>
      </c>
      <c r="L108" s="26">
        <v>7</v>
      </c>
    </row>
    <row r="109" spans="1:12" x14ac:dyDescent="0.25">
      <c r="A109" s="40">
        <v>12027</v>
      </c>
      <c r="B109" s="40" t="s">
        <v>169</v>
      </c>
      <c r="C109" s="40">
        <v>9347</v>
      </c>
      <c r="D109" s="40" t="s">
        <v>328</v>
      </c>
      <c r="E109" s="61">
        <v>1</v>
      </c>
      <c r="F109" s="61"/>
      <c r="G109" s="61">
        <v>1</v>
      </c>
      <c r="H109" s="61"/>
      <c r="I109" s="61">
        <v>1</v>
      </c>
      <c r="J109" s="61"/>
      <c r="K109" s="61">
        <f t="shared" si="18"/>
        <v>3</v>
      </c>
      <c r="L109" s="40">
        <v>35</v>
      </c>
    </row>
    <row r="110" spans="1:12" x14ac:dyDescent="0.25">
      <c r="A110" s="40">
        <v>12027</v>
      </c>
      <c r="B110" s="40" t="s">
        <v>169</v>
      </c>
      <c r="C110" s="40">
        <v>3486</v>
      </c>
      <c r="D110" s="40" t="s">
        <v>329</v>
      </c>
      <c r="E110" s="61">
        <v>1</v>
      </c>
      <c r="F110" s="61"/>
      <c r="G110" s="61">
        <v>1</v>
      </c>
      <c r="H110" s="61"/>
      <c r="I110" s="61">
        <v>1</v>
      </c>
      <c r="J110" s="61">
        <v>1</v>
      </c>
      <c r="K110" s="61">
        <f t="shared" si="18"/>
        <v>4</v>
      </c>
      <c r="L110" s="40">
        <v>34</v>
      </c>
    </row>
    <row r="111" spans="1:12" x14ac:dyDescent="0.25">
      <c r="A111" s="40">
        <v>12027</v>
      </c>
      <c r="B111" s="40" t="s">
        <v>169</v>
      </c>
      <c r="C111" s="40">
        <v>8900008</v>
      </c>
      <c r="D111" s="40" t="s">
        <v>330</v>
      </c>
      <c r="E111" s="61">
        <v>1</v>
      </c>
      <c r="F111" s="61"/>
      <c r="G111" s="61">
        <v>1</v>
      </c>
      <c r="H111" s="61"/>
      <c r="I111" s="61">
        <v>1</v>
      </c>
      <c r="J111" s="61"/>
      <c r="K111" s="61">
        <f t="shared" si="18"/>
        <v>3</v>
      </c>
      <c r="L111" s="40">
        <v>38</v>
      </c>
    </row>
    <row r="112" spans="1:12" x14ac:dyDescent="0.25">
      <c r="A112" s="40">
        <v>12027</v>
      </c>
      <c r="B112" s="40" t="s">
        <v>169</v>
      </c>
      <c r="C112" s="40">
        <v>11898</v>
      </c>
      <c r="D112" s="40" t="s">
        <v>331</v>
      </c>
      <c r="E112" s="61"/>
      <c r="F112" s="61">
        <v>1</v>
      </c>
      <c r="G112" s="61"/>
      <c r="H112" s="61">
        <v>1</v>
      </c>
      <c r="I112" s="61"/>
      <c r="J112" s="61"/>
      <c r="K112" s="61">
        <f t="shared" si="18"/>
        <v>2</v>
      </c>
      <c r="L112" s="40">
        <v>34</v>
      </c>
    </row>
    <row r="113" spans="1:12" x14ac:dyDescent="0.25">
      <c r="A113" s="40">
        <v>12027</v>
      </c>
      <c r="B113" s="40" t="s">
        <v>169</v>
      </c>
      <c r="C113" s="40">
        <v>11896</v>
      </c>
      <c r="D113" s="40" t="s">
        <v>332</v>
      </c>
      <c r="E113" s="61"/>
      <c r="F113" s="61">
        <v>1</v>
      </c>
      <c r="G113" s="61"/>
      <c r="H113" s="61">
        <v>1</v>
      </c>
      <c r="I113" s="61"/>
      <c r="J113" s="61"/>
      <c r="K113" s="61">
        <f t="shared" si="18"/>
        <v>2</v>
      </c>
      <c r="L113" s="40">
        <v>34</v>
      </c>
    </row>
    <row r="114" spans="1:12" x14ac:dyDescent="0.25">
      <c r="A114" s="40">
        <v>12027</v>
      </c>
      <c r="B114" s="40" t="s">
        <v>169</v>
      </c>
      <c r="C114" s="40">
        <v>11946</v>
      </c>
      <c r="D114" s="40" t="s">
        <v>333</v>
      </c>
      <c r="E114" s="61">
        <v>1</v>
      </c>
      <c r="F114" s="61"/>
      <c r="G114" s="61">
        <v>1</v>
      </c>
      <c r="H114" s="61"/>
      <c r="I114" s="61">
        <v>1</v>
      </c>
      <c r="J114" s="61">
        <v>1</v>
      </c>
      <c r="K114" s="61">
        <f t="shared" si="18"/>
        <v>4</v>
      </c>
      <c r="L114" s="40">
        <v>34</v>
      </c>
    </row>
    <row r="115" spans="1:12" x14ac:dyDescent="0.25">
      <c r="A115" s="40">
        <v>12027</v>
      </c>
      <c r="B115" s="40" t="s">
        <v>169</v>
      </c>
      <c r="C115" s="40">
        <v>11895</v>
      </c>
      <c r="D115" s="40" t="s">
        <v>334</v>
      </c>
      <c r="E115" s="61"/>
      <c r="F115" s="61">
        <v>1</v>
      </c>
      <c r="G115" s="61"/>
      <c r="H115" s="61">
        <v>1</v>
      </c>
      <c r="I115" s="61"/>
      <c r="J115" s="61"/>
      <c r="K115" s="61">
        <f t="shared" si="18"/>
        <v>2</v>
      </c>
      <c r="L115" s="40">
        <v>34</v>
      </c>
    </row>
    <row r="116" spans="1:12" x14ac:dyDescent="0.2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</row>
    <row r="117" spans="1:12" x14ac:dyDescent="0.25">
      <c r="E117" s="59">
        <f>SUM(E119:E130)</f>
        <v>5</v>
      </c>
      <c r="F117" s="59">
        <f t="shared" ref="F117:J117" si="19">SUM(F119:F130)</f>
        <v>5</v>
      </c>
      <c r="G117" s="59">
        <f t="shared" si="19"/>
        <v>5</v>
      </c>
      <c r="H117" s="59">
        <f t="shared" si="19"/>
        <v>4</v>
      </c>
      <c r="I117" s="59">
        <f t="shared" si="19"/>
        <v>3</v>
      </c>
      <c r="J117" s="59">
        <f t="shared" si="19"/>
        <v>2</v>
      </c>
      <c r="K117" s="59"/>
    </row>
    <row r="118" spans="1:12" x14ac:dyDescent="0.25">
      <c r="A118" s="42" t="s">
        <v>23</v>
      </c>
      <c r="B118" s="42" t="s">
        <v>21</v>
      </c>
      <c r="C118" s="20" t="s">
        <v>70</v>
      </c>
      <c r="D118" s="20" t="s">
        <v>71</v>
      </c>
      <c r="E118" s="60" t="s">
        <v>77</v>
      </c>
      <c r="F118" s="60" t="s">
        <v>78</v>
      </c>
      <c r="G118" s="60" t="s">
        <v>79</v>
      </c>
      <c r="H118" s="60" t="s">
        <v>80</v>
      </c>
      <c r="I118" s="60" t="s">
        <v>81</v>
      </c>
      <c r="J118" s="60" t="s">
        <v>82</v>
      </c>
      <c r="K118" s="60" t="s">
        <v>366</v>
      </c>
      <c r="L118" s="16" t="s">
        <v>388</v>
      </c>
    </row>
    <row r="119" spans="1:12" x14ac:dyDescent="0.25">
      <c r="A119" s="26">
        <v>12079</v>
      </c>
      <c r="B119" s="26" t="s">
        <v>186</v>
      </c>
      <c r="C119" s="26">
        <v>4394</v>
      </c>
      <c r="D119" s="26" t="s">
        <v>335</v>
      </c>
      <c r="E119" s="63">
        <v>1</v>
      </c>
      <c r="F119" s="63"/>
      <c r="G119" s="63"/>
      <c r="H119" s="63"/>
      <c r="I119" s="62">
        <v>0</v>
      </c>
      <c r="J119" s="63"/>
      <c r="K119" s="63">
        <f t="shared" ref="K119:K130" si="20">SUM(E119:J119)</f>
        <v>1</v>
      </c>
      <c r="L119" s="26">
        <v>7</v>
      </c>
    </row>
    <row r="120" spans="1:12" x14ac:dyDescent="0.25">
      <c r="A120" s="26">
        <v>12079</v>
      </c>
      <c r="B120" s="26" t="s">
        <v>186</v>
      </c>
      <c r="C120" s="26">
        <v>179</v>
      </c>
      <c r="D120" s="26" t="s">
        <v>336</v>
      </c>
      <c r="E120" s="63">
        <v>1</v>
      </c>
      <c r="F120" s="63"/>
      <c r="G120" s="63">
        <v>1</v>
      </c>
      <c r="H120" s="63"/>
      <c r="I120" s="63"/>
      <c r="J120" s="63"/>
      <c r="K120" s="63">
        <f t="shared" si="20"/>
        <v>2</v>
      </c>
      <c r="L120" s="26">
        <v>7</v>
      </c>
    </row>
    <row r="121" spans="1:12" x14ac:dyDescent="0.25">
      <c r="A121" s="40">
        <v>12079</v>
      </c>
      <c r="B121" s="40" t="s">
        <v>186</v>
      </c>
      <c r="C121" s="40">
        <v>8900006</v>
      </c>
      <c r="D121" s="40" t="s">
        <v>337</v>
      </c>
      <c r="E121" s="61">
        <v>1</v>
      </c>
      <c r="F121" s="61"/>
      <c r="G121" s="61">
        <v>1</v>
      </c>
      <c r="H121" s="61"/>
      <c r="I121" s="61">
        <v>1</v>
      </c>
      <c r="J121" s="61"/>
      <c r="K121" s="61">
        <f t="shared" si="20"/>
        <v>3</v>
      </c>
      <c r="L121" s="40">
        <v>38</v>
      </c>
    </row>
    <row r="122" spans="1:12" x14ac:dyDescent="0.25">
      <c r="A122" s="40">
        <v>12079</v>
      </c>
      <c r="B122" s="40" t="s">
        <v>186</v>
      </c>
      <c r="C122" s="40">
        <v>972</v>
      </c>
      <c r="D122" s="40" t="s">
        <v>338</v>
      </c>
      <c r="E122" s="61">
        <v>1</v>
      </c>
      <c r="F122" s="61"/>
      <c r="G122" s="61">
        <v>1</v>
      </c>
      <c r="H122" s="61"/>
      <c r="I122" s="61">
        <v>1</v>
      </c>
      <c r="J122" s="61"/>
      <c r="K122" s="61">
        <f t="shared" si="20"/>
        <v>3</v>
      </c>
      <c r="L122" s="40">
        <v>33</v>
      </c>
    </row>
    <row r="123" spans="1:12" x14ac:dyDescent="0.25">
      <c r="A123" s="26">
        <v>12079</v>
      </c>
      <c r="B123" s="26" t="s">
        <v>186</v>
      </c>
      <c r="C123" s="26">
        <v>4271</v>
      </c>
      <c r="D123" s="26" t="s">
        <v>339</v>
      </c>
      <c r="E123" s="63"/>
      <c r="F123" s="63">
        <v>1</v>
      </c>
      <c r="G123" s="63"/>
      <c r="H123" s="63"/>
      <c r="I123" s="63"/>
      <c r="J123" s="63"/>
      <c r="K123" s="63">
        <f t="shared" si="20"/>
        <v>1</v>
      </c>
      <c r="L123" s="26">
        <v>11</v>
      </c>
    </row>
    <row r="124" spans="1:12" x14ac:dyDescent="0.25">
      <c r="A124" s="40">
        <v>12079</v>
      </c>
      <c r="B124" s="40" t="s">
        <v>186</v>
      </c>
      <c r="C124" s="40">
        <v>224</v>
      </c>
      <c r="D124" s="40" t="s">
        <v>340</v>
      </c>
      <c r="E124" s="61">
        <v>1</v>
      </c>
      <c r="F124" s="61"/>
      <c r="G124" s="61">
        <v>1</v>
      </c>
      <c r="H124" s="61"/>
      <c r="I124" s="61">
        <v>1</v>
      </c>
      <c r="J124" s="61"/>
      <c r="K124" s="61">
        <f t="shared" si="20"/>
        <v>3</v>
      </c>
      <c r="L124" s="40">
        <v>34</v>
      </c>
    </row>
    <row r="125" spans="1:12" x14ac:dyDescent="0.25">
      <c r="A125" s="26">
        <v>12079</v>
      </c>
      <c r="B125" s="26" t="s">
        <v>186</v>
      </c>
      <c r="C125" s="26">
        <v>3533</v>
      </c>
      <c r="D125" s="26" t="s">
        <v>341</v>
      </c>
      <c r="E125" s="63"/>
      <c r="F125" s="63"/>
      <c r="G125" s="63">
        <v>1</v>
      </c>
      <c r="H125" s="63"/>
      <c r="I125" s="63"/>
      <c r="J125" s="63"/>
      <c r="K125" s="63">
        <f t="shared" si="20"/>
        <v>1</v>
      </c>
      <c r="L125" s="26">
        <v>12</v>
      </c>
    </row>
    <row r="126" spans="1:12" x14ac:dyDescent="0.25">
      <c r="A126" s="26">
        <v>12079</v>
      </c>
      <c r="B126" s="26" t="s">
        <v>186</v>
      </c>
      <c r="C126" s="26">
        <v>233</v>
      </c>
      <c r="D126" s="26" t="s">
        <v>342</v>
      </c>
      <c r="E126" s="63"/>
      <c r="F126" s="63">
        <v>1</v>
      </c>
      <c r="G126" s="63"/>
      <c r="H126" s="62">
        <v>0</v>
      </c>
      <c r="I126" s="63"/>
      <c r="J126" s="63"/>
      <c r="K126" s="63">
        <f t="shared" si="20"/>
        <v>1</v>
      </c>
      <c r="L126" s="26">
        <v>7</v>
      </c>
    </row>
    <row r="127" spans="1:12" x14ac:dyDescent="0.25">
      <c r="A127" s="26">
        <v>12079</v>
      </c>
      <c r="B127" s="26" t="s">
        <v>186</v>
      </c>
      <c r="C127" s="26">
        <v>4284</v>
      </c>
      <c r="D127" s="26" t="s">
        <v>343</v>
      </c>
      <c r="E127" s="63"/>
      <c r="F127" s="63"/>
      <c r="G127" s="63"/>
      <c r="H127" s="63">
        <v>1</v>
      </c>
      <c r="I127" s="63"/>
      <c r="J127" s="63"/>
      <c r="K127" s="63">
        <f t="shared" si="20"/>
        <v>1</v>
      </c>
      <c r="L127" s="26">
        <v>11</v>
      </c>
    </row>
    <row r="128" spans="1:12" x14ac:dyDescent="0.25">
      <c r="A128" s="40">
        <v>12079</v>
      </c>
      <c r="B128" s="40" t="s">
        <v>186</v>
      </c>
      <c r="C128" s="40">
        <v>4522</v>
      </c>
      <c r="D128" s="40" t="s">
        <v>344</v>
      </c>
      <c r="E128" s="61"/>
      <c r="F128" s="61">
        <v>1</v>
      </c>
      <c r="G128" s="61"/>
      <c r="H128" s="61">
        <v>1</v>
      </c>
      <c r="I128" s="61"/>
      <c r="J128" s="61">
        <v>1</v>
      </c>
      <c r="K128" s="61">
        <f t="shared" si="20"/>
        <v>3</v>
      </c>
      <c r="L128" s="40">
        <v>34</v>
      </c>
    </row>
    <row r="129" spans="1:12" x14ac:dyDescent="0.25">
      <c r="A129" s="40">
        <v>12079</v>
      </c>
      <c r="B129" s="40" t="s">
        <v>186</v>
      </c>
      <c r="C129" s="40">
        <v>8900007</v>
      </c>
      <c r="D129" s="40" t="s">
        <v>345</v>
      </c>
      <c r="E129" s="61"/>
      <c r="F129" s="61">
        <v>1</v>
      </c>
      <c r="G129" s="61"/>
      <c r="H129" s="61">
        <v>1</v>
      </c>
      <c r="I129" s="61"/>
      <c r="J129" s="61">
        <v>1</v>
      </c>
      <c r="K129" s="61">
        <f t="shared" si="20"/>
        <v>3</v>
      </c>
      <c r="L129" s="40">
        <v>38</v>
      </c>
    </row>
    <row r="130" spans="1:12" x14ac:dyDescent="0.25">
      <c r="A130" s="40">
        <v>12079</v>
      </c>
      <c r="B130" s="40" t="s">
        <v>186</v>
      </c>
      <c r="C130" s="40">
        <v>8900019</v>
      </c>
      <c r="D130" s="40" t="s">
        <v>346</v>
      </c>
      <c r="E130" s="61"/>
      <c r="F130" s="61">
        <v>1</v>
      </c>
      <c r="G130" s="61"/>
      <c r="H130" s="61">
        <v>1</v>
      </c>
      <c r="I130" s="61"/>
      <c r="J130" s="61"/>
      <c r="K130" s="61">
        <f t="shared" si="20"/>
        <v>2</v>
      </c>
      <c r="L130" s="40">
        <v>34</v>
      </c>
    </row>
    <row r="131" spans="1:12" x14ac:dyDescent="0.2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</row>
    <row r="132" spans="1:12" x14ac:dyDescent="0.25">
      <c r="E132" s="39">
        <f>SUM(E134:E142)</f>
        <v>4</v>
      </c>
      <c r="F132" s="39">
        <f t="shared" ref="F132:J132" si="21">SUM(F134:F142)</f>
        <v>4</v>
      </c>
      <c r="G132" s="39">
        <f t="shared" si="21"/>
        <v>3</v>
      </c>
      <c r="H132" s="39">
        <f t="shared" si="21"/>
        <v>4</v>
      </c>
      <c r="I132" s="39">
        <f t="shared" si="21"/>
        <v>3</v>
      </c>
      <c r="J132" s="39">
        <f t="shared" si="21"/>
        <v>2</v>
      </c>
    </row>
    <row r="133" spans="1:12" x14ac:dyDescent="0.25">
      <c r="A133" s="42" t="s">
        <v>23</v>
      </c>
      <c r="B133" s="42" t="s">
        <v>21</v>
      </c>
      <c r="C133" s="20" t="s">
        <v>70</v>
      </c>
      <c r="D133" s="20" t="s">
        <v>71</v>
      </c>
      <c r="E133" s="16" t="s">
        <v>77</v>
      </c>
      <c r="F133" s="16" t="s">
        <v>78</v>
      </c>
      <c r="G133" s="16" t="s">
        <v>79</v>
      </c>
      <c r="H133" s="16" t="s">
        <v>80</v>
      </c>
      <c r="I133" s="16" t="s">
        <v>81</v>
      </c>
      <c r="J133" s="16" t="s">
        <v>82</v>
      </c>
      <c r="K133" s="16" t="s">
        <v>366</v>
      </c>
      <c r="L133" s="16" t="s">
        <v>388</v>
      </c>
    </row>
    <row r="134" spans="1:12" x14ac:dyDescent="0.25">
      <c r="A134" s="40">
        <v>12076</v>
      </c>
      <c r="B134" s="40" t="s">
        <v>205</v>
      </c>
      <c r="C134" s="40">
        <v>838</v>
      </c>
      <c r="D134" s="40" t="s">
        <v>347</v>
      </c>
      <c r="E134" s="61"/>
      <c r="F134" s="61">
        <v>1</v>
      </c>
      <c r="G134" s="61"/>
      <c r="H134" s="61">
        <v>1</v>
      </c>
      <c r="I134" s="61"/>
      <c r="J134" s="61"/>
      <c r="K134" s="61">
        <f t="shared" ref="K134:K142" si="22">SUM(E134:J134)</f>
        <v>2</v>
      </c>
      <c r="L134" s="40">
        <v>23</v>
      </c>
    </row>
    <row r="135" spans="1:12" x14ac:dyDescent="0.25">
      <c r="A135" s="40">
        <v>12076</v>
      </c>
      <c r="B135" s="40" t="s">
        <v>205</v>
      </c>
      <c r="C135" s="40">
        <v>3784</v>
      </c>
      <c r="D135" s="40" t="s">
        <v>348</v>
      </c>
      <c r="E135" s="61"/>
      <c r="F135" s="61"/>
      <c r="G135" s="61"/>
      <c r="H135" s="61">
        <v>1</v>
      </c>
      <c r="I135" s="61"/>
      <c r="J135" s="61"/>
      <c r="K135" s="61">
        <f t="shared" si="22"/>
        <v>1</v>
      </c>
      <c r="L135" s="40">
        <v>6</v>
      </c>
    </row>
    <row r="136" spans="1:12" x14ac:dyDescent="0.25">
      <c r="A136" s="40">
        <v>12076</v>
      </c>
      <c r="B136" s="40" t="s">
        <v>205</v>
      </c>
      <c r="C136" s="40">
        <v>9341</v>
      </c>
      <c r="D136" s="40" t="s">
        <v>349</v>
      </c>
      <c r="E136" s="61">
        <v>1</v>
      </c>
      <c r="F136" s="61"/>
      <c r="G136" s="61">
        <v>1</v>
      </c>
      <c r="H136" s="61"/>
      <c r="I136" s="61">
        <v>1</v>
      </c>
      <c r="J136" s="61"/>
      <c r="K136" s="61">
        <f t="shared" si="22"/>
        <v>3</v>
      </c>
      <c r="L136" s="40">
        <v>32</v>
      </c>
    </row>
    <row r="137" spans="1:12" x14ac:dyDescent="0.25">
      <c r="A137" s="26">
        <v>12076</v>
      </c>
      <c r="B137" s="26" t="s">
        <v>205</v>
      </c>
      <c r="C137" s="26">
        <v>4111</v>
      </c>
      <c r="D137" s="26" t="s">
        <v>350</v>
      </c>
      <c r="E137" s="63"/>
      <c r="F137" s="63">
        <v>1</v>
      </c>
      <c r="G137" s="63"/>
      <c r="H137" s="63"/>
      <c r="I137" s="62">
        <v>0</v>
      </c>
      <c r="J137" s="63"/>
      <c r="K137" s="63">
        <f t="shared" si="22"/>
        <v>1</v>
      </c>
      <c r="L137" s="26">
        <v>9</v>
      </c>
    </row>
    <row r="138" spans="1:12" x14ac:dyDescent="0.25">
      <c r="A138" s="26">
        <v>12076</v>
      </c>
      <c r="B138" s="26" t="s">
        <v>205</v>
      </c>
      <c r="C138" s="26">
        <v>3508</v>
      </c>
      <c r="D138" s="26" t="s">
        <v>351</v>
      </c>
      <c r="E138" s="63">
        <v>1</v>
      </c>
      <c r="F138" s="63"/>
      <c r="G138" s="62">
        <v>0</v>
      </c>
      <c r="H138" s="63"/>
      <c r="I138" s="63"/>
      <c r="J138" s="63"/>
      <c r="K138" s="63">
        <f t="shared" si="22"/>
        <v>1</v>
      </c>
      <c r="L138" s="26">
        <v>9</v>
      </c>
    </row>
    <row r="139" spans="1:12" x14ac:dyDescent="0.25">
      <c r="A139" s="40">
        <v>12076</v>
      </c>
      <c r="B139" s="40" t="s">
        <v>205</v>
      </c>
      <c r="C139" s="40">
        <v>2309</v>
      </c>
      <c r="D139" s="40" t="s">
        <v>352</v>
      </c>
      <c r="E139" s="61"/>
      <c r="F139" s="61">
        <v>1</v>
      </c>
      <c r="G139" s="61"/>
      <c r="H139" s="61">
        <v>1</v>
      </c>
      <c r="I139" s="61"/>
      <c r="J139" s="61"/>
      <c r="K139" s="61">
        <f t="shared" si="22"/>
        <v>2</v>
      </c>
      <c r="L139" s="40">
        <v>35</v>
      </c>
    </row>
    <row r="140" spans="1:12" x14ac:dyDescent="0.25">
      <c r="A140" s="40">
        <v>12076</v>
      </c>
      <c r="B140" s="40" t="s">
        <v>205</v>
      </c>
      <c r="C140" s="40">
        <v>8900009</v>
      </c>
      <c r="D140" s="40" t="s">
        <v>353</v>
      </c>
      <c r="E140" s="61">
        <v>1</v>
      </c>
      <c r="F140" s="61"/>
      <c r="G140" s="61">
        <v>1</v>
      </c>
      <c r="H140" s="61"/>
      <c r="I140" s="61">
        <v>1</v>
      </c>
      <c r="J140" s="61">
        <v>1</v>
      </c>
      <c r="K140" s="61">
        <f t="shared" si="22"/>
        <v>4</v>
      </c>
      <c r="L140" s="40">
        <v>38</v>
      </c>
    </row>
    <row r="141" spans="1:12" x14ac:dyDescent="0.25">
      <c r="A141" s="40">
        <v>12076</v>
      </c>
      <c r="B141" s="40" t="s">
        <v>205</v>
      </c>
      <c r="C141" s="40">
        <v>942</v>
      </c>
      <c r="D141" s="40" t="s">
        <v>354</v>
      </c>
      <c r="E141" s="61">
        <v>1</v>
      </c>
      <c r="F141" s="61"/>
      <c r="G141" s="61">
        <v>1</v>
      </c>
      <c r="H141" s="61"/>
      <c r="I141" s="61">
        <v>1</v>
      </c>
      <c r="J141" s="61">
        <v>1</v>
      </c>
      <c r="K141" s="61">
        <f t="shared" si="22"/>
        <v>4</v>
      </c>
      <c r="L141" s="40">
        <v>36</v>
      </c>
    </row>
    <row r="142" spans="1:12" x14ac:dyDescent="0.25">
      <c r="A142" s="40">
        <v>12076</v>
      </c>
      <c r="B142" s="40" t="s">
        <v>205</v>
      </c>
      <c r="C142" s="40">
        <v>11775</v>
      </c>
      <c r="D142" s="40" t="s">
        <v>355</v>
      </c>
      <c r="E142" s="61"/>
      <c r="F142" s="61">
        <v>1</v>
      </c>
      <c r="G142" s="61"/>
      <c r="H142" s="61">
        <v>1</v>
      </c>
      <c r="I142" s="61"/>
      <c r="J142" s="61"/>
      <c r="K142" s="61">
        <f t="shared" si="22"/>
        <v>2</v>
      </c>
      <c r="L142" s="40">
        <v>37</v>
      </c>
    </row>
    <row r="143" spans="1:12" x14ac:dyDescent="0.2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</row>
    <row r="144" spans="1:12" x14ac:dyDescent="0.25">
      <c r="E144" s="59">
        <f>SUM(E146:E150)</f>
        <v>3</v>
      </c>
      <c r="F144" s="59">
        <f t="shared" ref="F144:J144" si="23">SUM(F146:F150)</f>
        <v>3</v>
      </c>
      <c r="G144" s="59">
        <f t="shared" si="23"/>
        <v>3</v>
      </c>
      <c r="H144" s="59">
        <f t="shared" si="23"/>
        <v>2</v>
      </c>
      <c r="I144" s="59">
        <f t="shared" si="23"/>
        <v>3</v>
      </c>
      <c r="J144" s="59">
        <f t="shared" si="23"/>
        <v>1</v>
      </c>
      <c r="K144" s="59"/>
    </row>
    <row r="145" spans="1:12" x14ac:dyDescent="0.25">
      <c r="A145" s="42" t="s">
        <v>23</v>
      </c>
      <c r="B145" s="42" t="s">
        <v>21</v>
      </c>
      <c r="C145" s="20" t="s">
        <v>70</v>
      </c>
      <c r="D145" s="20" t="s">
        <v>71</v>
      </c>
      <c r="E145" s="60" t="s">
        <v>77</v>
      </c>
      <c r="F145" s="60" t="s">
        <v>78</v>
      </c>
      <c r="G145" s="60" t="s">
        <v>79</v>
      </c>
      <c r="H145" s="60" t="s">
        <v>80</v>
      </c>
      <c r="I145" s="60" t="s">
        <v>81</v>
      </c>
      <c r="J145" s="60" t="s">
        <v>82</v>
      </c>
      <c r="K145" s="60" t="s">
        <v>366</v>
      </c>
      <c r="L145" s="16" t="s">
        <v>388</v>
      </c>
    </row>
    <row r="146" spans="1:12" x14ac:dyDescent="0.25">
      <c r="A146" s="40">
        <v>12080</v>
      </c>
      <c r="B146" s="40" t="s">
        <v>216</v>
      </c>
      <c r="C146" s="40">
        <v>1004</v>
      </c>
      <c r="D146" s="40" t="s">
        <v>356</v>
      </c>
      <c r="E146" s="61">
        <v>1</v>
      </c>
      <c r="F146" s="61"/>
      <c r="G146" s="61">
        <v>1</v>
      </c>
      <c r="H146" s="61"/>
      <c r="I146" s="61">
        <v>1</v>
      </c>
      <c r="J146" s="61"/>
      <c r="K146" s="61">
        <f t="shared" ref="K146:K150" si="24">SUM(E146:J146)</f>
        <v>3</v>
      </c>
      <c r="L146" s="40">
        <v>36</v>
      </c>
    </row>
    <row r="147" spans="1:12" x14ac:dyDescent="0.25">
      <c r="A147" s="40">
        <v>12081</v>
      </c>
      <c r="B147" s="40" t="s">
        <v>216</v>
      </c>
      <c r="C147" s="40">
        <v>172</v>
      </c>
      <c r="D147" s="40" t="s">
        <v>357</v>
      </c>
      <c r="E147" s="61">
        <v>1</v>
      </c>
      <c r="F147" s="61"/>
      <c r="G147" s="61">
        <v>1</v>
      </c>
      <c r="H147" s="61"/>
      <c r="I147" s="61">
        <v>1</v>
      </c>
      <c r="J147" s="61"/>
      <c r="K147" s="61">
        <f t="shared" si="24"/>
        <v>3</v>
      </c>
      <c r="L147" s="40">
        <v>34</v>
      </c>
    </row>
    <row r="148" spans="1:12" x14ac:dyDescent="0.25">
      <c r="A148" s="40">
        <v>12082</v>
      </c>
      <c r="B148" s="40" t="s">
        <v>216</v>
      </c>
      <c r="C148" s="40">
        <v>2351</v>
      </c>
      <c r="D148" s="40" t="s">
        <v>358</v>
      </c>
      <c r="E148" s="61"/>
      <c r="F148" s="61">
        <v>1</v>
      </c>
      <c r="G148" s="61"/>
      <c r="H148" s="61">
        <v>1</v>
      </c>
      <c r="I148" s="61"/>
      <c r="J148" s="61"/>
      <c r="K148" s="61">
        <f t="shared" si="24"/>
        <v>2</v>
      </c>
      <c r="L148" s="40">
        <v>35</v>
      </c>
    </row>
    <row r="149" spans="1:12" x14ac:dyDescent="0.25">
      <c r="A149" s="26">
        <v>12083</v>
      </c>
      <c r="B149" s="26" t="s">
        <v>216</v>
      </c>
      <c r="C149" s="26">
        <v>8975472</v>
      </c>
      <c r="D149" s="26" t="s">
        <v>359</v>
      </c>
      <c r="E149" s="63"/>
      <c r="F149" s="63">
        <v>1</v>
      </c>
      <c r="G149" s="63"/>
      <c r="H149" s="62">
        <v>0</v>
      </c>
      <c r="I149" s="63"/>
      <c r="J149" s="63"/>
      <c r="K149" s="63">
        <f t="shared" si="24"/>
        <v>1</v>
      </c>
      <c r="L149" s="26">
        <v>7</v>
      </c>
    </row>
    <row r="150" spans="1:12" x14ac:dyDescent="0.25">
      <c r="A150" s="40">
        <v>12084</v>
      </c>
      <c r="B150" s="40" t="s">
        <v>216</v>
      </c>
      <c r="C150" s="40">
        <v>10758</v>
      </c>
      <c r="D150" s="40" t="s">
        <v>360</v>
      </c>
      <c r="E150" s="61">
        <v>1</v>
      </c>
      <c r="F150" s="61">
        <v>1</v>
      </c>
      <c r="G150" s="61">
        <v>1</v>
      </c>
      <c r="H150" s="61">
        <v>1</v>
      </c>
      <c r="I150" s="61">
        <v>1</v>
      </c>
      <c r="J150" s="61">
        <v>1</v>
      </c>
      <c r="K150" s="61">
        <f t="shared" si="24"/>
        <v>6</v>
      </c>
      <c r="L150" s="40">
        <v>36</v>
      </c>
    </row>
    <row r="151" spans="1:12" x14ac:dyDescent="0.2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</row>
    <row r="152" spans="1:12" x14ac:dyDescent="0.25">
      <c r="E152" s="59">
        <f>SUM(E154:E163)</f>
        <v>3</v>
      </c>
      <c r="F152" s="59">
        <f t="shared" ref="F152:J152" si="25">SUM(F154:F163)</f>
        <v>4</v>
      </c>
      <c r="G152" s="59">
        <f t="shared" si="25"/>
        <v>3</v>
      </c>
      <c r="H152" s="59">
        <f t="shared" si="25"/>
        <v>5</v>
      </c>
      <c r="I152" s="59">
        <f t="shared" si="25"/>
        <v>4</v>
      </c>
      <c r="J152" s="59">
        <f t="shared" si="25"/>
        <v>2</v>
      </c>
      <c r="K152" s="59"/>
    </row>
    <row r="153" spans="1:12" x14ac:dyDescent="0.25">
      <c r="A153" s="42" t="s">
        <v>23</v>
      </c>
      <c r="B153" s="42" t="s">
        <v>21</v>
      </c>
      <c r="C153" s="20" t="s">
        <v>70</v>
      </c>
      <c r="D153" s="20" t="s">
        <v>71</v>
      </c>
      <c r="E153" s="60" t="s">
        <v>77</v>
      </c>
      <c r="F153" s="60" t="s">
        <v>78</v>
      </c>
      <c r="G153" s="60" t="s">
        <v>79</v>
      </c>
      <c r="H153" s="60" t="s">
        <v>80</v>
      </c>
      <c r="I153" s="60" t="s">
        <v>81</v>
      </c>
      <c r="J153" s="60" t="s">
        <v>82</v>
      </c>
      <c r="K153" s="60" t="s">
        <v>366</v>
      </c>
      <c r="L153" s="16" t="s">
        <v>388</v>
      </c>
    </row>
    <row r="154" spans="1:12" x14ac:dyDescent="0.25">
      <c r="A154" s="40">
        <v>12108</v>
      </c>
      <c r="B154" s="40" t="s">
        <v>217</v>
      </c>
      <c r="C154" s="40">
        <v>196</v>
      </c>
      <c r="D154" s="40" t="s">
        <v>361</v>
      </c>
      <c r="E154" s="61"/>
      <c r="F154" s="61">
        <v>1</v>
      </c>
      <c r="G154" s="61"/>
      <c r="H154" s="61">
        <v>1</v>
      </c>
      <c r="I154" s="61"/>
      <c r="J154" s="61"/>
      <c r="K154" s="61">
        <f t="shared" ref="K154:K163" si="26">SUM(E154:J154)</f>
        <v>2</v>
      </c>
      <c r="L154" s="40">
        <v>34</v>
      </c>
    </row>
    <row r="155" spans="1:12" x14ac:dyDescent="0.25">
      <c r="A155" s="26">
        <v>12108</v>
      </c>
      <c r="B155" s="26" t="s">
        <v>217</v>
      </c>
      <c r="C155" s="26">
        <v>197</v>
      </c>
      <c r="D155" s="26" t="s">
        <v>362</v>
      </c>
      <c r="E155" s="63"/>
      <c r="F155" s="63"/>
      <c r="G155" s="63">
        <v>1</v>
      </c>
      <c r="H155" s="63"/>
      <c r="I155" s="63"/>
      <c r="J155" s="63"/>
      <c r="K155" s="63">
        <f t="shared" si="26"/>
        <v>1</v>
      </c>
      <c r="L155" s="26">
        <v>7</v>
      </c>
    </row>
    <row r="156" spans="1:12" x14ac:dyDescent="0.25">
      <c r="A156" s="40">
        <v>12108</v>
      </c>
      <c r="B156" s="40" t="s">
        <v>217</v>
      </c>
      <c r="C156" s="40">
        <v>8900004</v>
      </c>
      <c r="D156" s="40" t="s">
        <v>363</v>
      </c>
      <c r="E156" s="61"/>
      <c r="F156" s="61">
        <v>1</v>
      </c>
      <c r="G156" s="61"/>
      <c r="H156" s="61">
        <v>1</v>
      </c>
      <c r="I156" s="61"/>
      <c r="J156" s="61">
        <v>1</v>
      </c>
      <c r="K156" s="61">
        <f t="shared" si="26"/>
        <v>3</v>
      </c>
      <c r="L156" s="40">
        <v>38</v>
      </c>
    </row>
    <row r="157" spans="1:12" x14ac:dyDescent="0.25">
      <c r="A157" s="40">
        <v>12108</v>
      </c>
      <c r="B157" s="40" t="s">
        <v>217</v>
      </c>
      <c r="C157" s="40">
        <v>8900016</v>
      </c>
      <c r="D157" s="40" t="s">
        <v>364</v>
      </c>
      <c r="E157" s="61"/>
      <c r="F157" s="61">
        <v>1</v>
      </c>
      <c r="G157" s="61"/>
      <c r="H157" s="61">
        <v>1</v>
      </c>
      <c r="I157" s="61"/>
      <c r="J157" s="61">
        <v>1</v>
      </c>
      <c r="K157" s="61">
        <f t="shared" si="26"/>
        <v>3</v>
      </c>
      <c r="L157" s="40">
        <v>38</v>
      </c>
    </row>
    <row r="158" spans="1:12" x14ac:dyDescent="0.25">
      <c r="A158" s="40">
        <v>12108</v>
      </c>
      <c r="B158" s="40" t="s">
        <v>217</v>
      </c>
      <c r="C158" s="40">
        <v>4803</v>
      </c>
      <c r="D158" s="40" t="s">
        <v>367</v>
      </c>
      <c r="E158" s="61">
        <v>1</v>
      </c>
      <c r="F158" s="61"/>
      <c r="G158" s="61">
        <v>1</v>
      </c>
      <c r="H158" s="61"/>
      <c r="I158" s="61">
        <v>1</v>
      </c>
      <c r="J158" s="61"/>
      <c r="K158" s="61">
        <f t="shared" si="26"/>
        <v>3</v>
      </c>
      <c r="L158" s="40">
        <v>36</v>
      </c>
    </row>
    <row r="159" spans="1:12" x14ac:dyDescent="0.25">
      <c r="A159" s="40">
        <v>12108</v>
      </c>
      <c r="B159" s="40" t="s">
        <v>217</v>
      </c>
      <c r="C159" s="40">
        <v>182</v>
      </c>
      <c r="D159" s="40" t="s">
        <v>368</v>
      </c>
      <c r="E159" s="61"/>
      <c r="F159" s="61">
        <v>1</v>
      </c>
      <c r="G159" s="61"/>
      <c r="H159" s="61">
        <v>1</v>
      </c>
      <c r="I159" s="61">
        <v>1</v>
      </c>
      <c r="J159" s="61"/>
      <c r="K159" s="61">
        <f t="shared" si="26"/>
        <v>3</v>
      </c>
      <c r="L159" s="40">
        <v>34</v>
      </c>
    </row>
    <row r="160" spans="1:12" x14ac:dyDescent="0.25">
      <c r="A160" s="26">
        <v>12108</v>
      </c>
      <c r="B160" s="26" t="s">
        <v>217</v>
      </c>
      <c r="C160" s="26">
        <v>902</v>
      </c>
      <c r="D160" s="26" t="s">
        <v>369</v>
      </c>
      <c r="E160" s="63">
        <v>1</v>
      </c>
      <c r="F160" s="63"/>
      <c r="G160" s="62">
        <v>0</v>
      </c>
      <c r="H160" s="63"/>
      <c r="I160" s="63"/>
      <c r="J160" s="63"/>
      <c r="K160" s="63">
        <f t="shared" si="26"/>
        <v>1</v>
      </c>
      <c r="L160" s="26">
        <v>7</v>
      </c>
    </row>
    <row r="161" spans="1:12" x14ac:dyDescent="0.25">
      <c r="A161" s="26">
        <v>12108</v>
      </c>
      <c r="B161" s="26" t="s">
        <v>217</v>
      </c>
      <c r="C161" s="26">
        <v>203</v>
      </c>
      <c r="D161" s="26" t="s">
        <v>370</v>
      </c>
      <c r="E161" s="63"/>
      <c r="F161" s="63"/>
      <c r="G161" s="63"/>
      <c r="H161" s="63"/>
      <c r="I161" s="63">
        <v>1</v>
      </c>
      <c r="J161" s="63"/>
      <c r="K161" s="63">
        <f t="shared" si="26"/>
        <v>1</v>
      </c>
      <c r="L161" s="26">
        <v>7</v>
      </c>
    </row>
    <row r="162" spans="1:12" x14ac:dyDescent="0.25">
      <c r="A162" s="26">
        <v>12108</v>
      </c>
      <c r="B162" s="26" t="s">
        <v>217</v>
      </c>
      <c r="C162" s="26">
        <v>4221</v>
      </c>
      <c r="D162" s="26" t="s">
        <v>371</v>
      </c>
      <c r="E162" s="63"/>
      <c r="F162" s="63"/>
      <c r="G162" s="63"/>
      <c r="H162" s="63">
        <v>1</v>
      </c>
      <c r="I162" s="63"/>
      <c r="J162" s="63"/>
      <c r="K162" s="63">
        <f t="shared" si="26"/>
        <v>1</v>
      </c>
      <c r="L162" s="26">
        <v>11</v>
      </c>
    </row>
    <row r="163" spans="1:12" x14ac:dyDescent="0.25">
      <c r="A163" s="40">
        <v>12108</v>
      </c>
      <c r="B163" s="40" t="s">
        <v>217</v>
      </c>
      <c r="C163" s="40">
        <v>9631</v>
      </c>
      <c r="D163" s="40" t="s">
        <v>372</v>
      </c>
      <c r="E163" s="61">
        <v>1</v>
      </c>
      <c r="F163" s="61"/>
      <c r="G163" s="61">
        <v>1</v>
      </c>
      <c r="H163" s="61"/>
      <c r="I163" s="61">
        <v>1</v>
      </c>
      <c r="J163" s="61"/>
      <c r="K163" s="61">
        <f t="shared" si="26"/>
        <v>3</v>
      </c>
      <c r="L163" s="40">
        <v>30</v>
      </c>
    </row>
    <row r="164" spans="1:12" x14ac:dyDescent="0.25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</row>
    <row r="165" spans="1:12" x14ac:dyDescent="0.25">
      <c r="E165" s="59">
        <f>SUM(E167:E176)</f>
        <v>4</v>
      </c>
      <c r="F165" s="59">
        <f t="shared" ref="F165:J165" si="27">SUM(F167:F176)</f>
        <v>4</v>
      </c>
      <c r="G165" s="59">
        <f t="shared" si="27"/>
        <v>4</v>
      </c>
      <c r="H165" s="59">
        <f t="shared" si="27"/>
        <v>4</v>
      </c>
      <c r="I165" s="59">
        <f t="shared" si="27"/>
        <v>4</v>
      </c>
      <c r="J165" s="59">
        <f t="shared" si="27"/>
        <v>1</v>
      </c>
      <c r="K165" s="59"/>
    </row>
    <row r="166" spans="1:12" x14ac:dyDescent="0.25">
      <c r="A166" s="42" t="s">
        <v>23</v>
      </c>
      <c r="B166" s="42" t="s">
        <v>21</v>
      </c>
      <c r="C166" s="20" t="s">
        <v>70</v>
      </c>
      <c r="D166" s="20" t="s">
        <v>71</v>
      </c>
      <c r="E166" s="60" t="s">
        <v>77</v>
      </c>
      <c r="F166" s="60" t="s">
        <v>78</v>
      </c>
      <c r="G166" s="60" t="s">
        <v>79</v>
      </c>
      <c r="H166" s="60" t="s">
        <v>80</v>
      </c>
      <c r="I166" s="60" t="s">
        <v>81</v>
      </c>
      <c r="J166" s="60" t="s">
        <v>82</v>
      </c>
      <c r="K166" s="60" t="s">
        <v>366</v>
      </c>
      <c r="L166" s="16" t="s">
        <v>388</v>
      </c>
    </row>
    <row r="167" spans="1:12" x14ac:dyDescent="0.25">
      <c r="A167" s="40">
        <v>12087</v>
      </c>
      <c r="B167" s="40" t="s">
        <v>233</v>
      </c>
      <c r="C167" s="40">
        <v>8900015</v>
      </c>
      <c r="D167" s="40" t="s">
        <v>365</v>
      </c>
      <c r="E167" s="61">
        <v>1</v>
      </c>
      <c r="F167" s="61"/>
      <c r="G167" s="61">
        <v>1</v>
      </c>
      <c r="H167" s="61"/>
      <c r="I167" s="61">
        <v>1</v>
      </c>
      <c r="J167" s="61">
        <v>1</v>
      </c>
      <c r="K167" s="61">
        <f t="shared" ref="K167:K176" si="28">SUM(E167:J167)</f>
        <v>4</v>
      </c>
      <c r="L167" s="40">
        <v>38</v>
      </c>
    </row>
    <row r="168" spans="1:12" x14ac:dyDescent="0.25">
      <c r="A168" s="40">
        <v>12087</v>
      </c>
      <c r="B168" s="40" t="s">
        <v>233</v>
      </c>
      <c r="C168" s="40">
        <v>1006</v>
      </c>
      <c r="D168" s="40" t="s">
        <v>373</v>
      </c>
      <c r="E168" s="61">
        <v>1</v>
      </c>
      <c r="F168" s="61"/>
      <c r="G168" s="61">
        <v>1</v>
      </c>
      <c r="H168" s="61"/>
      <c r="I168" s="61">
        <v>1</v>
      </c>
      <c r="J168" s="61"/>
      <c r="K168" s="61">
        <f t="shared" si="28"/>
        <v>3</v>
      </c>
      <c r="L168" s="40">
        <v>36</v>
      </c>
    </row>
    <row r="169" spans="1:12" x14ac:dyDescent="0.25">
      <c r="A169" s="26">
        <v>12087</v>
      </c>
      <c r="B169" s="26" t="s">
        <v>233</v>
      </c>
      <c r="C169" s="26">
        <v>268</v>
      </c>
      <c r="D169" s="26" t="s">
        <v>374</v>
      </c>
      <c r="E169" s="63"/>
      <c r="F169" s="63"/>
      <c r="G169" s="63"/>
      <c r="H169" s="63"/>
      <c r="I169" s="63">
        <v>1</v>
      </c>
      <c r="J169" s="63"/>
      <c r="K169" s="63">
        <f t="shared" si="28"/>
        <v>1</v>
      </c>
      <c r="L169" s="26">
        <v>7</v>
      </c>
    </row>
    <row r="170" spans="1:12" x14ac:dyDescent="0.25">
      <c r="A170" s="26">
        <v>12087</v>
      </c>
      <c r="B170" s="26" t="s">
        <v>233</v>
      </c>
      <c r="C170" s="26">
        <v>276</v>
      </c>
      <c r="D170" s="26" t="s">
        <v>375</v>
      </c>
      <c r="E170" s="63">
        <v>1</v>
      </c>
      <c r="F170" s="63"/>
      <c r="G170" s="63"/>
      <c r="H170" s="63"/>
      <c r="I170" s="63"/>
      <c r="J170" s="63"/>
      <c r="K170" s="63">
        <f t="shared" si="28"/>
        <v>1</v>
      </c>
      <c r="L170" s="26">
        <v>7</v>
      </c>
    </row>
    <row r="171" spans="1:12" x14ac:dyDescent="0.25">
      <c r="A171" s="26">
        <v>12087</v>
      </c>
      <c r="B171" s="26" t="s">
        <v>233</v>
      </c>
      <c r="C171" s="26">
        <v>218</v>
      </c>
      <c r="D171" s="26" t="s">
        <v>376</v>
      </c>
      <c r="E171" s="63"/>
      <c r="F171" s="63"/>
      <c r="G171" s="63">
        <v>1</v>
      </c>
      <c r="H171" s="63"/>
      <c r="I171" s="63"/>
      <c r="J171" s="62">
        <v>0</v>
      </c>
      <c r="K171" s="63">
        <f t="shared" si="28"/>
        <v>1</v>
      </c>
      <c r="L171" s="26">
        <v>7</v>
      </c>
    </row>
    <row r="172" spans="1:12" x14ac:dyDescent="0.25">
      <c r="A172" s="40">
        <v>12087</v>
      </c>
      <c r="B172" s="40" t="s">
        <v>233</v>
      </c>
      <c r="C172" s="40">
        <v>954</v>
      </c>
      <c r="D172" s="40" t="s">
        <v>377</v>
      </c>
      <c r="E172" s="61"/>
      <c r="F172" s="61">
        <v>1</v>
      </c>
      <c r="G172" s="61"/>
      <c r="H172" s="61">
        <v>1</v>
      </c>
      <c r="I172" s="61"/>
      <c r="J172" s="61"/>
      <c r="K172" s="61">
        <f t="shared" si="28"/>
        <v>2</v>
      </c>
      <c r="L172" s="40">
        <v>36</v>
      </c>
    </row>
    <row r="173" spans="1:12" x14ac:dyDescent="0.25">
      <c r="A173" s="40">
        <v>12087</v>
      </c>
      <c r="B173" s="40" t="s">
        <v>233</v>
      </c>
      <c r="C173" s="40">
        <v>212</v>
      </c>
      <c r="D173" s="40" t="s">
        <v>378</v>
      </c>
      <c r="E173" s="61">
        <v>1</v>
      </c>
      <c r="F173" s="61"/>
      <c r="G173" s="61">
        <v>1</v>
      </c>
      <c r="H173" s="61"/>
      <c r="I173" s="61">
        <v>1</v>
      </c>
      <c r="J173" s="61"/>
      <c r="K173" s="61">
        <f t="shared" si="28"/>
        <v>3</v>
      </c>
      <c r="L173" s="40">
        <v>34</v>
      </c>
    </row>
    <row r="174" spans="1:12" x14ac:dyDescent="0.25">
      <c r="A174" s="40">
        <v>12087</v>
      </c>
      <c r="B174" s="40" t="s">
        <v>233</v>
      </c>
      <c r="C174" s="40">
        <v>11899</v>
      </c>
      <c r="D174" s="40" t="s">
        <v>379</v>
      </c>
      <c r="E174" s="61"/>
      <c r="F174" s="61">
        <v>1</v>
      </c>
      <c r="G174" s="61"/>
      <c r="H174" s="61">
        <v>1</v>
      </c>
      <c r="I174" s="61"/>
      <c r="J174" s="61"/>
      <c r="K174" s="61">
        <f t="shared" si="28"/>
        <v>2</v>
      </c>
      <c r="L174" s="40">
        <v>34</v>
      </c>
    </row>
    <row r="175" spans="1:12" x14ac:dyDescent="0.25">
      <c r="A175" s="40">
        <v>12087</v>
      </c>
      <c r="B175" s="40" t="s">
        <v>233</v>
      </c>
      <c r="C175" s="40">
        <v>11851</v>
      </c>
      <c r="D175" s="40" t="s">
        <v>380</v>
      </c>
      <c r="E175" s="61"/>
      <c r="F175" s="61">
        <v>1</v>
      </c>
      <c r="G175" s="61"/>
      <c r="H175" s="61">
        <v>1</v>
      </c>
      <c r="I175" s="61"/>
      <c r="J175" s="61"/>
      <c r="K175" s="61">
        <f t="shared" si="28"/>
        <v>2</v>
      </c>
      <c r="L175" s="40">
        <v>34</v>
      </c>
    </row>
    <row r="176" spans="1:12" x14ac:dyDescent="0.25">
      <c r="A176" s="40">
        <v>12087</v>
      </c>
      <c r="B176" s="40" t="s">
        <v>233</v>
      </c>
      <c r="C176" s="40">
        <v>10947</v>
      </c>
      <c r="D176" s="40" t="s">
        <v>381</v>
      </c>
      <c r="E176" s="61"/>
      <c r="F176" s="61">
        <v>1</v>
      </c>
      <c r="G176" s="61"/>
      <c r="H176" s="61">
        <v>1</v>
      </c>
      <c r="I176" s="61"/>
      <c r="J176" s="61"/>
      <c r="K176" s="61">
        <f t="shared" si="28"/>
        <v>2</v>
      </c>
      <c r="L176" s="40">
        <v>26</v>
      </c>
    </row>
  </sheetData>
  <pageMargins left="0.51181102362204722" right="0.51181102362204722" top="0.39370078740157483" bottom="0.39370078740157483" header="0.31496062992125984" footer="0.31496062992125984"/>
  <pageSetup paperSize="9" scale="90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3F02-15CB-4318-B52F-F2F6B96900F5}">
  <dimension ref="A1:F36"/>
  <sheetViews>
    <sheetView showGridLines="0" topLeftCell="A2" zoomScale="85" zoomScaleNormal="85" workbookViewId="0">
      <selection activeCell="C43" sqref="C42:C43"/>
    </sheetView>
  </sheetViews>
  <sheetFormatPr defaultRowHeight="15" x14ac:dyDescent="0.25"/>
  <cols>
    <col min="1" max="1" width="34" bestFit="1" customWidth="1"/>
    <col min="2" max="2" width="3" bestFit="1" customWidth="1"/>
    <col min="3" max="3" width="34.28515625" bestFit="1" customWidth="1"/>
    <col min="4" max="4" width="3" bestFit="1" customWidth="1"/>
    <col min="5" max="5" width="29.7109375" bestFit="1" customWidth="1"/>
    <col min="6" max="6" width="5.7109375" customWidth="1"/>
  </cols>
  <sheetData>
    <row r="1" spans="1:6" ht="18.75" x14ac:dyDescent="0.3">
      <c r="A1" s="46" t="s">
        <v>390</v>
      </c>
      <c r="B1" s="46"/>
      <c r="C1" s="46"/>
      <c r="D1" s="46"/>
      <c r="E1" s="46"/>
      <c r="F1" s="46"/>
    </row>
    <row r="2" spans="1:6" x14ac:dyDescent="0.25">
      <c r="A2" s="47" t="s">
        <v>391</v>
      </c>
      <c r="B2" s="47"/>
      <c r="C2" s="48" t="s">
        <v>186</v>
      </c>
      <c r="D2" s="48"/>
      <c r="E2" s="49" t="s">
        <v>24</v>
      </c>
      <c r="F2" s="49"/>
    </row>
    <row r="3" spans="1:6" x14ac:dyDescent="0.25">
      <c r="A3" s="6" t="s">
        <v>296</v>
      </c>
      <c r="B3" s="17">
        <v>34</v>
      </c>
      <c r="C3" s="18" t="s">
        <v>338</v>
      </c>
      <c r="D3" s="19">
        <v>33</v>
      </c>
      <c r="E3" s="1" t="s">
        <v>266</v>
      </c>
      <c r="F3" s="20">
        <v>35</v>
      </c>
    </row>
    <row r="4" spans="1:6" x14ac:dyDescent="0.25">
      <c r="A4" s="6" t="s">
        <v>299</v>
      </c>
      <c r="B4" s="17">
        <v>35</v>
      </c>
      <c r="C4" s="18" t="s">
        <v>340</v>
      </c>
      <c r="D4" s="19">
        <v>34</v>
      </c>
      <c r="E4" s="1" t="s">
        <v>267</v>
      </c>
      <c r="F4" s="20">
        <v>36</v>
      </c>
    </row>
    <row r="5" spans="1:6" x14ac:dyDescent="0.25">
      <c r="A5" s="6" t="s">
        <v>302</v>
      </c>
      <c r="B5" s="17">
        <v>35</v>
      </c>
      <c r="C5" s="18" t="s">
        <v>344</v>
      </c>
      <c r="D5" s="19">
        <v>34</v>
      </c>
      <c r="E5" s="55" t="s">
        <v>142</v>
      </c>
      <c r="F5" s="55"/>
    </row>
    <row r="6" spans="1:6" x14ac:dyDescent="0.25">
      <c r="A6" s="6" t="s">
        <v>300</v>
      </c>
      <c r="B6" s="17">
        <v>36</v>
      </c>
      <c r="C6" s="18" t="s">
        <v>337</v>
      </c>
      <c r="D6" s="19">
        <v>38</v>
      </c>
      <c r="E6" s="29" t="s">
        <v>315</v>
      </c>
      <c r="F6" s="30">
        <v>34</v>
      </c>
    </row>
    <row r="7" spans="1:6" x14ac:dyDescent="0.25">
      <c r="A7" s="6" t="s">
        <v>297</v>
      </c>
      <c r="B7" s="17">
        <v>38</v>
      </c>
      <c r="C7" s="18" t="s">
        <v>346</v>
      </c>
      <c r="D7" s="19">
        <v>34</v>
      </c>
      <c r="E7" s="29" t="s">
        <v>316</v>
      </c>
      <c r="F7" s="30">
        <v>36</v>
      </c>
    </row>
    <row r="8" spans="1:6" x14ac:dyDescent="0.25">
      <c r="A8" s="6" t="s">
        <v>293</v>
      </c>
      <c r="B8" s="17">
        <v>31</v>
      </c>
      <c r="C8" s="18" t="s">
        <v>345</v>
      </c>
      <c r="D8" s="19">
        <v>38</v>
      </c>
      <c r="E8" s="52" t="s">
        <v>233</v>
      </c>
      <c r="F8" s="52"/>
    </row>
    <row r="9" spans="1:6" x14ac:dyDescent="0.25">
      <c r="A9" s="50" t="s">
        <v>392</v>
      </c>
      <c r="B9" s="50"/>
      <c r="C9" s="51" t="s">
        <v>216</v>
      </c>
      <c r="D9" s="51"/>
      <c r="E9" s="25" t="s">
        <v>380</v>
      </c>
      <c r="F9" s="26">
        <v>34</v>
      </c>
    </row>
    <row r="10" spans="1:6" x14ac:dyDescent="0.25">
      <c r="A10" s="21" t="s">
        <v>286</v>
      </c>
      <c r="B10" s="22">
        <v>34</v>
      </c>
      <c r="C10" s="23" t="s">
        <v>357</v>
      </c>
      <c r="D10" s="24">
        <v>34</v>
      </c>
      <c r="E10" s="25" t="s">
        <v>379</v>
      </c>
      <c r="F10" s="26">
        <v>34</v>
      </c>
    </row>
    <row r="11" spans="1:6" x14ac:dyDescent="0.25">
      <c r="A11" s="21" t="s">
        <v>284</v>
      </c>
      <c r="B11" s="22">
        <v>33</v>
      </c>
      <c r="C11" s="23" t="s">
        <v>358</v>
      </c>
      <c r="D11" s="24">
        <v>35</v>
      </c>
      <c r="E11" s="25" t="s">
        <v>378</v>
      </c>
      <c r="F11" s="26">
        <v>34</v>
      </c>
    </row>
    <row r="12" spans="1:6" x14ac:dyDescent="0.25">
      <c r="A12" s="21" t="s">
        <v>287</v>
      </c>
      <c r="B12" s="22">
        <v>34</v>
      </c>
      <c r="C12" s="23" t="s">
        <v>356</v>
      </c>
      <c r="D12" s="24">
        <v>36</v>
      </c>
      <c r="E12" s="25" t="s">
        <v>373</v>
      </c>
      <c r="F12" s="26">
        <v>36</v>
      </c>
    </row>
    <row r="13" spans="1:6" x14ac:dyDescent="0.25">
      <c r="A13" s="21" t="s">
        <v>289</v>
      </c>
      <c r="B13" s="22">
        <v>34</v>
      </c>
      <c r="C13" s="23" t="s">
        <v>360</v>
      </c>
      <c r="D13" s="24">
        <v>36</v>
      </c>
      <c r="E13" s="25" t="s">
        <v>377</v>
      </c>
      <c r="F13" s="26">
        <v>36</v>
      </c>
    </row>
    <row r="14" spans="1:6" x14ac:dyDescent="0.25">
      <c r="A14" s="21" t="s">
        <v>288</v>
      </c>
      <c r="B14" s="22">
        <v>33</v>
      </c>
      <c r="C14" s="54" t="s">
        <v>152</v>
      </c>
      <c r="D14" s="54"/>
      <c r="E14" s="25" t="s">
        <v>365</v>
      </c>
      <c r="F14" s="26">
        <v>38</v>
      </c>
    </row>
    <row r="15" spans="1:6" x14ac:dyDescent="0.25">
      <c r="A15" s="21" t="s">
        <v>291</v>
      </c>
      <c r="B15" s="22">
        <v>36</v>
      </c>
      <c r="C15" s="27" t="s">
        <v>326</v>
      </c>
      <c r="D15" s="28">
        <v>33</v>
      </c>
      <c r="E15" s="56" t="s">
        <v>87</v>
      </c>
      <c r="F15" s="56"/>
    </row>
    <row r="16" spans="1:6" x14ac:dyDescent="0.25">
      <c r="A16" s="21" t="s">
        <v>285</v>
      </c>
      <c r="B16" s="22">
        <v>38</v>
      </c>
      <c r="C16" s="27" t="s">
        <v>324</v>
      </c>
      <c r="D16" s="28">
        <v>33</v>
      </c>
      <c r="E16" s="34" t="s">
        <v>282</v>
      </c>
      <c r="F16" s="31">
        <v>35</v>
      </c>
    </row>
    <row r="17" spans="1:6" x14ac:dyDescent="0.25">
      <c r="A17" s="53" t="s">
        <v>393</v>
      </c>
      <c r="B17" s="53"/>
      <c r="C17" s="27" t="s">
        <v>319</v>
      </c>
      <c r="D17" s="28">
        <v>35</v>
      </c>
      <c r="E17" s="34" t="s">
        <v>279</v>
      </c>
      <c r="F17" s="31">
        <v>33</v>
      </c>
    </row>
    <row r="18" spans="1:6" x14ac:dyDescent="0.25">
      <c r="A18" s="13" t="s">
        <v>311</v>
      </c>
      <c r="B18" s="14">
        <v>33</v>
      </c>
      <c r="C18" s="27" t="s">
        <v>318</v>
      </c>
      <c r="D18" s="28">
        <v>36</v>
      </c>
      <c r="E18" s="34" t="s">
        <v>281</v>
      </c>
      <c r="F18" s="31">
        <v>38</v>
      </c>
    </row>
    <row r="19" spans="1:6" x14ac:dyDescent="0.25">
      <c r="A19" s="13" t="s">
        <v>306</v>
      </c>
      <c r="B19" s="14">
        <v>35</v>
      </c>
      <c r="C19" s="27" t="s">
        <v>322</v>
      </c>
      <c r="D19" s="28">
        <v>36</v>
      </c>
      <c r="E19" s="34" t="s">
        <v>283</v>
      </c>
      <c r="F19" s="31">
        <v>36</v>
      </c>
    </row>
    <row r="20" spans="1:6" x14ac:dyDescent="0.25">
      <c r="A20" s="13" t="s">
        <v>307</v>
      </c>
      <c r="B20" s="14">
        <v>36</v>
      </c>
      <c r="C20" s="27" t="s">
        <v>325</v>
      </c>
      <c r="D20" s="28">
        <v>37</v>
      </c>
      <c r="E20" s="54" t="s">
        <v>394</v>
      </c>
      <c r="F20" s="54"/>
    </row>
    <row r="21" spans="1:6" x14ac:dyDescent="0.25">
      <c r="A21" s="13" t="s">
        <v>304</v>
      </c>
      <c r="B21" s="14">
        <v>35</v>
      </c>
      <c r="C21" s="27" t="s">
        <v>321</v>
      </c>
      <c r="D21" s="28">
        <v>38</v>
      </c>
      <c r="E21" s="27" t="s">
        <v>269</v>
      </c>
      <c r="F21" s="28">
        <v>32</v>
      </c>
    </row>
    <row r="22" spans="1:6" x14ac:dyDescent="0.25">
      <c r="A22" s="56" t="s">
        <v>205</v>
      </c>
      <c r="B22" s="56"/>
      <c r="C22" s="53" t="s">
        <v>169</v>
      </c>
      <c r="D22" s="53"/>
      <c r="E22" s="27" t="s">
        <v>275</v>
      </c>
      <c r="F22" s="28">
        <v>35</v>
      </c>
    </row>
    <row r="23" spans="1:6" x14ac:dyDescent="0.25">
      <c r="A23" s="32" t="s">
        <v>355</v>
      </c>
      <c r="B23" s="33">
        <v>37</v>
      </c>
      <c r="C23" s="13" t="s">
        <v>329</v>
      </c>
      <c r="D23" s="14">
        <v>34</v>
      </c>
      <c r="E23" s="27" t="s">
        <v>278</v>
      </c>
      <c r="F23" s="28">
        <v>35</v>
      </c>
    </row>
    <row r="24" spans="1:6" x14ac:dyDescent="0.25">
      <c r="A24" s="32" t="s">
        <v>349</v>
      </c>
      <c r="B24" s="33">
        <v>32</v>
      </c>
      <c r="C24" s="13" t="s">
        <v>332</v>
      </c>
      <c r="D24" s="14">
        <v>34</v>
      </c>
      <c r="E24" s="27" t="s">
        <v>273</v>
      </c>
      <c r="F24" s="28">
        <v>37</v>
      </c>
    </row>
    <row r="25" spans="1:6" x14ac:dyDescent="0.25">
      <c r="A25" s="32" t="s">
        <v>354</v>
      </c>
      <c r="B25" s="33">
        <v>36</v>
      </c>
      <c r="C25" s="13" t="s">
        <v>333</v>
      </c>
      <c r="D25" s="14">
        <v>34</v>
      </c>
      <c r="E25" s="27" t="s">
        <v>270</v>
      </c>
      <c r="F25" s="28">
        <v>34</v>
      </c>
    </row>
    <row r="26" spans="1:6" x14ac:dyDescent="0.25">
      <c r="A26" s="32" t="s">
        <v>352</v>
      </c>
      <c r="B26" s="33">
        <v>35</v>
      </c>
      <c r="C26" s="13" t="s">
        <v>334</v>
      </c>
      <c r="D26" s="14">
        <v>34</v>
      </c>
      <c r="E26" s="27" t="s">
        <v>268</v>
      </c>
      <c r="F26" s="28">
        <v>38</v>
      </c>
    </row>
    <row r="27" spans="1:6" x14ac:dyDescent="0.25">
      <c r="A27" s="32" t="s">
        <v>353</v>
      </c>
      <c r="B27" s="33">
        <v>38</v>
      </c>
      <c r="C27" s="13" t="s">
        <v>331</v>
      </c>
      <c r="D27" s="14">
        <v>34</v>
      </c>
      <c r="E27" s="55" t="s">
        <v>22</v>
      </c>
      <c r="F27" s="55"/>
    </row>
    <row r="28" spans="1:6" x14ac:dyDescent="0.25">
      <c r="A28" s="57" t="s">
        <v>244</v>
      </c>
      <c r="B28" s="57"/>
      <c r="C28" s="13" t="s">
        <v>328</v>
      </c>
      <c r="D28" s="14">
        <v>35</v>
      </c>
      <c r="E28" s="29" t="s">
        <v>255</v>
      </c>
      <c r="F28" s="30">
        <v>35</v>
      </c>
    </row>
    <row r="29" spans="1:6" x14ac:dyDescent="0.25">
      <c r="A29" s="35" t="s">
        <v>385</v>
      </c>
      <c r="B29" s="36">
        <v>34</v>
      </c>
      <c r="C29" s="13" t="s">
        <v>330</v>
      </c>
      <c r="D29" s="14">
        <v>38</v>
      </c>
      <c r="E29" s="29" t="s">
        <v>261</v>
      </c>
      <c r="F29" s="30">
        <v>33</v>
      </c>
    </row>
    <row r="30" spans="1:6" x14ac:dyDescent="0.25">
      <c r="A30" s="35" t="s">
        <v>384</v>
      </c>
      <c r="B30" s="36">
        <v>35</v>
      </c>
      <c r="C30" s="58" t="s">
        <v>395</v>
      </c>
      <c r="D30" s="58"/>
      <c r="E30" s="29" t="s">
        <v>262</v>
      </c>
      <c r="F30" s="30">
        <v>36</v>
      </c>
    </row>
    <row r="31" spans="1:6" x14ac:dyDescent="0.25">
      <c r="A31" s="35" t="s">
        <v>382</v>
      </c>
      <c r="B31" s="36">
        <v>35</v>
      </c>
      <c r="C31" s="37" t="s">
        <v>361</v>
      </c>
      <c r="D31" s="38">
        <v>34</v>
      </c>
      <c r="E31" s="29" t="s">
        <v>257</v>
      </c>
      <c r="F31" s="30">
        <v>36</v>
      </c>
    </row>
    <row r="32" spans="1:6" x14ac:dyDescent="0.25">
      <c r="A32" s="35" t="s">
        <v>386</v>
      </c>
      <c r="B32" s="36">
        <v>36</v>
      </c>
      <c r="C32" s="37" t="s">
        <v>368</v>
      </c>
      <c r="D32" s="38">
        <v>34</v>
      </c>
      <c r="E32" s="29" t="s">
        <v>260</v>
      </c>
      <c r="F32" s="30">
        <v>36</v>
      </c>
    </row>
    <row r="33" spans="3:6" x14ac:dyDescent="0.25">
      <c r="C33" s="37" t="s">
        <v>367</v>
      </c>
      <c r="D33" s="38">
        <v>36</v>
      </c>
      <c r="E33" s="29" t="s">
        <v>254</v>
      </c>
      <c r="F33" s="30">
        <v>38</v>
      </c>
    </row>
    <row r="34" spans="3:6" x14ac:dyDescent="0.25">
      <c r="C34" s="37" t="s">
        <v>372</v>
      </c>
      <c r="D34" s="38">
        <v>30</v>
      </c>
      <c r="E34" s="29" t="s">
        <v>258</v>
      </c>
      <c r="F34" s="30">
        <v>38</v>
      </c>
    </row>
    <row r="35" spans="3:6" x14ac:dyDescent="0.25">
      <c r="C35" s="37" t="s">
        <v>363</v>
      </c>
      <c r="D35" s="38">
        <v>38</v>
      </c>
    </row>
    <row r="36" spans="3:6" x14ac:dyDescent="0.25">
      <c r="C36" s="37" t="s">
        <v>364</v>
      </c>
      <c r="D36" s="38">
        <v>38</v>
      </c>
    </row>
  </sheetData>
  <mergeCells count="17">
    <mergeCell ref="A28:B28"/>
    <mergeCell ref="E27:F27"/>
    <mergeCell ref="C30:D30"/>
    <mergeCell ref="A17:B17"/>
    <mergeCell ref="C14:D14"/>
    <mergeCell ref="E5:F5"/>
    <mergeCell ref="A22:B22"/>
    <mergeCell ref="C22:D22"/>
    <mergeCell ref="E15:F15"/>
    <mergeCell ref="E20:F20"/>
    <mergeCell ref="A1:F1"/>
    <mergeCell ref="A2:B2"/>
    <mergeCell ref="C2:D2"/>
    <mergeCell ref="E2:F2"/>
    <mergeCell ref="A9:B9"/>
    <mergeCell ref="C9:D9"/>
    <mergeCell ref="E8:F8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F91525-80CC-4042-9535-6E3C1E3CAE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Planilha2</vt:lpstr>
      <vt:lpstr>Planilha3</vt:lpstr>
      <vt:lpstr>roteiro original</vt:lpstr>
      <vt:lpstr>HORARIOS</vt:lpstr>
      <vt:lpstr>rascunho</vt:lpstr>
      <vt:lpstr> Simularção reduzir das redes 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Simões</dc:creator>
  <cp:lastModifiedBy>Nicolas Simões</cp:lastModifiedBy>
  <cp:lastPrinted>2025-05-22T13:01:09Z</cp:lastPrinted>
  <dcterms:created xsi:type="dcterms:W3CDTF">2025-05-16T16:57:17Z</dcterms:created>
  <dcterms:modified xsi:type="dcterms:W3CDTF">2025-05-22T14:10:43Z</dcterms:modified>
</cp:coreProperties>
</file>